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G:\桌面\发票模板\"/>
    </mc:Choice>
  </mc:AlternateContent>
  <workbookProtection workbookAlgorithmName="SHA-512" workbookHashValue="pzphz2ErihkHdLct9PNFkZitTRuL+9JiFikdQKhpOQBILb6zeiZu7obTSlc9PBqymq0oso4eI/Sdv1Ji20jrJg==" workbookSaltValue="jw1TQxXEhh8E9G9ehr+/gw==" workbookSpinCount="100000" lockStructure="1"/>
  <bookViews>
    <workbookView windowWidth="27945" windowHeight="12375"/>
  </bookViews>
  <sheets>
    <sheet name="模板" sheetId="2" r:id="rId1"/>
    <sheet name="渠道列表" sheetId="3" r:id="rId2"/>
    <sheet name="地址库" sheetId="1" r:id="rId3"/>
    <sheet name="站点" sheetId="4" r:id="rId4"/>
  </sheets>
  <definedNames>
    <definedName name="_xlnm._FilterDatabase" localSheetId="1" hidden="1">渠道列表!$A$1:$B$169</definedName>
    <definedName name="_xlnm._FilterDatabase" localSheetId="2" hidden="1">地址库!$A$1:$N$279</definedName>
    <definedName name="_xlnm._FilterDatabase" localSheetId="0" hidden="1">模板!$A$10:$W$25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<sst xmlns="http://schemas.openxmlformats.org/spreadsheetml/2006/main" count="3188" uniqueCount="1460">
  <si>
    <t>服务*</t>
  </si>
  <si>
    <t>N21加西卡派-合德美转加</t>
  </si>
  <si>
    <t>我司所有渠道递延后缀一定选择有PVA的！！！</t>
  </si>
  <si>
    <r>
      <rPr>
        <sz val="10"/>
        <color rgb="FFFF0000"/>
        <rFont val="微软雅黑"/>
        <charset val="134"/>
      </rPr>
      <t xml:space="preserve">使用说明
1、带星标*为必填项，服务是指渠道。
2、货箱编号不可合并，箱号重复即可，有多少品名就要写多少行
3、申报价值为单件价值，快件总价值=申报价值*数量
4、表格填写不可以使用公式                                                                   
5、申报币种美国填写USD，欧洲是EUR，英国是GBP                               
6、所有包税渠道清关填写“否”不需要填写VAT号
7、卡派渠道PO Number*必须填写                                             
8、亚马逊地址可以填写仓库代码，表格会自动带出地址信息，请检查信息准确性，如因地址库下错单，我司不承担责任。商私地址，需要删除地址库编码内容栏，就可以手动输入准确的地址下单，不受地址库限制，  
9、买单报关的货物报关方式选：”买单报关“  ，单独报关/报关退税的货物，报关方式选：”报关退税“      
10、英国卡航/铁路/海运渠道，不包税后缀是VAT，递延后缀是PVA，麻烦客户检查后再下单。
11、如您已购买保险，请下单备注已购买保险 
</t>
    </r>
    <r>
      <rPr>
        <b/>
        <sz val="10"/>
        <color rgb="FFFF0000"/>
        <rFont val="微软雅黑"/>
        <charset val="134"/>
      </rPr>
      <t>温馨提示：您导入下单时，选择好对应的仓库：所在货站。如您是推送式下单，请您一定要选择对应的货站备注预计送仓时间，这个方便您的货物提前安排进装柜计划中，如您下单没有备注，我司产品部做装柜计划可能无法计算到此订单导致无法优先安排装柜。</t>
    </r>
  </si>
  <si>
    <t>地址库编码（亚马逊仓库代码）*</t>
  </si>
  <si>
    <t>YYC4</t>
  </si>
  <si>
    <t>收件人姓名*</t>
  </si>
  <si>
    <t>收件人公司</t>
  </si>
  <si>
    <t>收件人地址一*</t>
  </si>
  <si>
    <t>收件人地址二</t>
  </si>
  <si>
    <t>收件人地址三</t>
  </si>
  <si>
    <t>收件人城市*</t>
  </si>
  <si>
    <t>收件人省份/州</t>
  </si>
  <si>
    <t>收件人邮编*</t>
  </si>
  <si>
    <t>收件人国家代码(二字代码)*</t>
  </si>
  <si>
    <t>收件人电话*</t>
  </si>
  <si>
    <t>收件人邮箱*</t>
  </si>
  <si>
    <t>客户订单号*</t>
  </si>
  <si>
    <t>TRKJ26100025</t>
  </si>
  <si>
    <t>带电*</t>
  </si>
  <si>
    <t>是</t>
  </si>
  <si>
    <t>带磁*</t>
  </si>
  <si>
    <t>否</t>
  </si>
  <si>
    <t>报关方式*</t>
  </si>
  <si>
    <t>报关退税</t>
  </si>
  <si>
    <t>一般贸易淸关</t>
  </si>
  <si>
    <t>清关方式*</t>
  </si>
  <si>
    <t>快件淸关</t>
  </si>
  <si>
    <t>VAT号*</t>
  </si>
  <si>
    <t>EORI*</t>
  </si>
  <si>
    <t>申报币种*</t>
  </si>
  <si>
    <t>USD</t>
  </si>
  <si>
    <t>所在货站*</t>
  </si>
  <si>
    <t>东莞清溪站点</t>
  </si>
  <si>
    <t>请选择交货的我司仓库</t>
  </si>
  <si>
    <t>备注</t>
  </si>
  <si>
    <t>备注是否已购买保险，备注后此票货物出单后不换单</t>
  </si>
  <si>
    <t>箱数</t>
  </si>
  <si>
    <t>链接无用1代替</t>
  </si>
  <si>
    <t>货箱编号*</t>
  </si>
  <si>
    <t>PO Number*</t>
  </si>
  <si>
    <t>客户货箱重量(KG)</t>
  </si>
  <si>
    <t>客户货箱长度(CM)</t>
  </si>
  <si>
    <t>客户货箱宽度(CM)</t>
  </si>
  <si>
    <t>客户货箱高度(CM)</t>
  </si>
  <si>
    <t>产品SKU</t>
  </si>
  <si>
    <t>产品中文品名*</t>
  </si>
  <si>
    <t>产品英文品名*</t>
  </si>
  <si>
    <t>产品申报单价 *（单个）</t>
  </si>
  <si>
    <t>产品申报数量*（单箱）</t>
  </si>
  <si>
    <t>产品材质*</t>
  </si>
  <si>
    <t>产品海关编码*</t>
  </si>
  <si>
    <t>产品用途*</t>
  </si>
  <si>
    <t>产品品牌*</t>
  </si>
  <si>
    <t>产品型号*</t>
  </si>
  <si>
    <t>产品销售链接*</t>
  </si>
  <si>
    <t>产品销售价格</t>
  </si>
  <si>
    <t>产品图片链接</t>
  </si>
  <si>
    <t>产品重量(kg)</t>
  </si>
  <si>
    <t>产品ASIN</t>
  </si>
  <si>
    <t>产品FNSKU</t>
  </si>
  <si>
    <t>承运商</t>
  </si>
  <si>
    <t>跟踪号</t>
  </si>
  <si>
    <t>产品尺寸*</t>
  </si>
  <si>
    <t>产地</t>
  </si>
  <si>
    <t>FBA19S7M5PRDU000001-19</t>
  </si>
  <si>
    <t>7ART41EP</t>
  </si>
  <si>
    <t>无</t>
  </si>
  <si>
    <t>北极光灯</t>
  </si>
  <si>
    <t>INS Style Northern Lights Night Light</t>
  </si>
  <si>
    <t>ABS+PMMA</t>
  </si>
  <si>
    <t>9405429000</t>
  </si>
  <si>
    <t>照明/投影</t>
  </si>
  <si>
    <t>无品牌</t>
  </si>
  <si>
    <t>https://www.amazon.ca/dp/B0GS5GJW6M</t>
  </si>
  <si>
    <t>分类</t>
  </si>
  <si>
    <t>渠道名称</t>
  </si>
  <si>
    <t>欧洲海运</t>
  </si>
  <si>
    <t>J10欧洲海运超大件专线</t>
  </si>
  <si>
    <t>J11欧洲海运法国专线</t>
  </si>
  <si>
    <t>J11欧洲海运暂存中转</t>
  </si>
  <si>
    <t>J12欧洲海运波兰专线</t>
  </si>
  <si>
    <t>J14欧洲海运罗马尼亚专线</t>
  </si>
  <si>
    <t>J15欧洲海运匈牙利专线</t>
  </si>
  <si>
    <t>J16欧洲海运希腊专线</t>
  </si>
  <si>
    <t>J1欧洲海运快递派</t>
  </si>
  <si>
    <t>J2欧洲海运快递派-PVA</t>
  </si>
  <si>
    <t>J5欧洲海运DG纯电专线</t>
  </si>
  <si>
    <t>J6欧洲海运一件代发</t>
  </si>
  <si>
    <t>J6欧洲海运暂存中转</t>
  </si>
  <si>
    <t>J6欧洲海运整柜直送专线</t>
  </si>
  <si>
    <t>J7欧洲海运意大利专线</t>
  </si>
  <si>
    <t>J8欧洲海运卡派-PVA</t>
  </si>
  <si>
    <t>J8欧洲海运一件代发-PVA</t>
  </si>
  <si>
    <t>J8欧洲海运暂存中转-PVA</t>
  </si>
  <si>
    <t>J9欧洲海运西班牙专线</t>
  </si>
  <si>
    <t>Z1欧洲海运整柜包税</t>
  </si>
  <si>
    <t>Z2欧洲海运整柜递延</t>
  </si>
  <si>
    <t>Z3欧洲海运整柜清关</t>
  </si>
  <si>
    <t>Z4欧洲海运整柜电动自行车</t>
  </si>
  <si>
    <t>J18德国海运超大件专线</t>
  </si>
  <si>
    <t>欧洲铁路</t>
  </si>
  <si>
    <t>T7欧洲铁路西班牙专线</t>
  </si>
  <si>
    <t>T6欧洲铁路意大利专线</t>
  </si>
  <si>
    <t>T5欧洲铁路法国专线</t>
  </si>
  <si>
    <t>T4欧洲铁路波兰专线</t>
  </si>
  <si>
    <t>T3欧洲铁路快递派-PVA</t>
  </si>
  <si>
    <t>T2欧洲铁路整柜直送专线</t>
  </si>
  <si>
    <t>T2欧洲铁路暂存中转</t>
  </si>
  <si>
    <t>T2欧洲铁路一件代发</t>
  </si>
  <si>
    <t>T1欧洲铁路快递派-限时达</t>
  </si>
  <si>
    <t>T1欧洲铁路快递派</t>
  </si>
  <si>
    <t>T17欧洲铁路超大件专线</t>
  </si>
  <si>
    <t>T16欧洲铁路罗马尼亚专线</t>
  </si>
  <si>
    <t>T14欧洲铁路暂存中转-PVA</t>
  </si>
  <si>
    <t>T14欧洲铁路一件代发-PVA</t>
  </si>
  <si>
    <t>T14欧洲铁路卡派-PVA</t>
  </si>
  <si>
    <t>T19德国铁路超大件专线</t>
  </si>
  <si>
    <t>苏新号中欧卡航</t>
  </si>
  <si>
    <t>K6苏新号中欧卡航暂存中转</t>
  </si>
  <si>
    <t>K6苏新号中欧卡航一件代发</t>
  </si>
  <si>
    <t>K6苏新号中欧卡航-卡派</t>
  </si>
  <si>
    <t>K5苏新号中欧卡航 PVA-快递派</t>
  </si>
  <si>
    <t>K4苏新号中欧卡航-快递派</t>
  </si>
  <si>
    <t>K10苏新号中欧卡航暂存中转-PVA</t>
  </si>
  <si>
    <t>K10苏新号中欧卡航一件代发-PVA</t>
  </si>
  <si>
    <t>K10苏新号中欧卡航 PVA-卡派</t>
  </si>
  <si>
    <t>K11苏新号中欧卡航商私地址卡派</t>
  </si>
  <si>
    <t>K12苏新号中欧卡航商私地址卡派-PVA</t>
  </si>
  <si>
    <t>K16苏新号中欧卡航超大件专线</t>
  </si>
  <si>
    <t>K17德国卡航超大件专线</t>
  </si>
  <si>
    <t>苏新号中欧卡航-第三通道</t>
  </si>
  <si>
    <t>K6苏新号中欧卡航暂存中转-CE3</t>
  </si>
  <si>
    <t>K6苏新号中欧卡航-卡派-CE3</t>
  </si>
  <si>
    <t>K4苏新号中欧卡航-快递派-CE3</t>
  </si>
  <si>
    <t>K5苏新号中欧卡航 PVA-快递派-CE3</t>
  </si>
  <si>
    <t>K10苏新号中欧卡航暂存中转-PVA-CE3</t>
  </si>
  <si>
    <t>K10苏新号中欧卡航 PVA-卡派-CE3</t>
  </si>
  <si>
    <t>英国海运</t>
  </si>
  <si>
    <t>E1英国海运快递派-VAT</t>
  </si>
  <si>
    <t>E2英国海运快递派-PVA</t>
  </si>
  <si>
    <t>E3英国海运快递派</t>
  </si>
  <si>
    <t>F1CBM英国海运卡派-VAT</t>
  </si>
  <si>
    <t>F1英国海运卡派-VAT</t>
  </si>
  <si>
    <t>F2CBM英国海运卡派-PVA</t>
  </si>
  <si>
    <t>F2英国海运卡派-PVA</t>
  </si>
  <si>
    <t>F3CBM英国海运卡派</t>
  </si>
  <si>
    <t>F3英国海运卡派</t>
  </si>
  <si>
    <t>Z5英国海运整柜包税</t>
  </si>
  <si>
    <t>Z6英国海运整柜递延</t>
  </si>
  <si>
    <t>Z7英国海运整柜清关</t>
  </si>
  <si>
    <t>Z8英国海运整柜电动自行车</t>
  </si>
  <si>
    <t>英国铁路</t>
  </si>
  <si>
    <t>T8英国铁路快递派-VAT</t>
  </si>
  <si>
    <t>T9英国铁路快递派-PVA</t>
  </si>
  <si>
    <t>T13英国铁路卡派</t>
  </si>
  <si>
    <t>T12英国铁路卡派-PVA</t>
  </si>
  <si>
    <t>T11英国铁路卡派-VAT</t>
  </si>
  <si>
    <t>T10英国铁路快递派</t>
  </si>
  <si>
    <t>苏新号中英卡航</t>
  </si>
  <si>
    <t>K1苏新号中英卡航 VAT-快递派</t>
  </si>
  <si>
    <t>K2苏新号中英卡航 PVA-快递派</t>
  </si>
  <si>
    <t>K3苏新号中英卡航-快递派</t>
  </si>
  <si>
    <t>K7苏新号中英卡航 VAT-卡派</t>
  </si>
  <si>
    <t>K8苏新号中英卡航 PVA-卡派</t>
  </si>
  <si>
    <t>K9苏新号中英卡航-卡派</t>
  </si>
  <si>
    <t>K13苏新号中英卡航商私地址卡派</t>
  </si>
  <si>
    <t>K14苏新号中英卡航商私地址卡派-VAT</t>
  </si>
  <si>
    <t>K15苏新号中英卡航商私地址卡派-PVA</t>
  </si>
  <si>
    <t>英国海外仓暂存中转</t>
  </si>
  <si>
    <t>F5英国海运海外仓暂存转运</t>
  </si>
  <si>
    <t>F6英国海运海外仓暂存转运-PVA</t>
  </si>
  <si>
    <t>商私地址卡派</t>
  </si>
  <si>
    <t>F4英国海运商私地址卡派</t>
  </si>
  <si>
    <t>F7英国海运商私地址卡派-VAT</t>
  </si>
  <si>
    <t>F8英国海运商私地址卡派-PVA</t>
  </si>
  <si>
    <t>J17欧洲海运商私地址卡派</t>
  </si>
  <si>
    <t>J20欧洲海运商私地址卡派-PVA</t>
  </si>
  <si>
    <t>T15欧洲铁路商私地址卡派</t>
  </si>
  <si>
    <t>T18欧洲铁路商私地址卡派-PVA</t>
  </si>
  <si>
    <t>英国空派普货</t>
  </si>
  <si>
    <t>L10英国空派普货5日提快递派-VAT</t>
  </si>
  <si>
    <t>L11英国空派普货5日提快递派-PVA</t>
  </si>
  <si>
    <t>L12英国空派普货5日提快递派</t>
  </si>
  <si>
    <t>L1英国空派普货经济线快递派-VAT</t>
  </si>
  <si>
    <t>L2英国空派普货经济线快递派-PVA</t>
  </si>
  <si>
    <t>L3英国空派普货经济线快递派</t>
  </si>
  <si>
    <t>L9英国空派普货经济线卡派</t>
  </si>
  <si>
    <t>L8英国空派普货经济线卡派-PVA</t>
  </si>
  <si>
    <t>L7英国空派普货经济线卡派-VAT</t>
  </si>
  <si>
    <t>英国空派带电</t>
  </si>
  <si>
    <t>L4英国空派带电经济线快递派-VAT</t>
  </si>
  <si>
    <t>L5英国空派带电经济线快递派-PVA</t>
  </si>
  <si>
    <t>L6英国空派带电经济线快递派</t>
  </si>
  <si>
    <t>欧洲空派普货</t>
  </si>
  <si>
    <t>C5欧洲空派普货6日提快递派</t>
  </si>
  <si>
    <t>C6欧洲空派普货特惠</t>
  </si>
  <si>
    <t>C1欧洲空派普货快递派</t>
  </si>
  <si>
    <t>C8欧洲空派超大件普货</t>
  </si>
  <si>
    <t>欧洲空派带电</t>
  </si>
  <si>
    <t>C4欧洲空派带电快递派-PVA</t>
  </si>
  <si>
    <t>C3欧洲空派带电快递派</t>
  </si>
  <si>
    <t>越南专线</t>
  </si>
  <si>
    <t>VN01-L越南陆运</t>
  </si>
  <si>
    <t>马来西亚专线</t>
  </si>
  <si>
    <t>MY01-H 马来海运专线</t>
  </si>
  <si>
    <t>加拿大直航</t>
  </si>
  <si>
    <t>N1加西海派-直航快船</t>
  </si>
  <si>
    <t>N2加东海派-直航快船</t>
  </si>
  <si>
    <t>N3加西海卡-直航快船</t>
  </si>
  <si>
    <t>N4加东海卡-直航快船</t>
  </si>
  <si>
    <t>N5加西海卡自税-直航快船</t>
  </si>
  <si>
    <t>N6加东海卡自税-直航快船</t>
  </si>
  <si>
    <t>直航特惠统配</t>
  </si>
  <si>
    <t>N7加西海派-特惠统配</t>
  </si>
  <si>
    <t>N8加东海派-特惠统配</t>
  </si>
  <si>
    <t>N9加西海卡-特惠统配</t>
  </si>
  <si>
    <t>N10加东海卡-特惠统配</t>
  </si>
  <si>
    <t>N11加西海卡自税-特惠统配</t>
  </si>
  <si>
    <t>N12加东海卡自税-特惠统配</t>
  </si>
  <si>
    <t>N13加东商私卡派-特惠统配</t>
  </si>
  <si>
    <t>N14加西商私卡派-特惠统配</t>
  </si>
  <si>
    <t>N15加东商私卡派-直航快船</t>
  </si>
  <si>
    <t>N16加西商私卡派-直航快船</t>
  </si>
  <si>
    <t>N17加东商私卡派-合德美转加</t>
  </si>
  <si>
    <t>N18加西商私卡派-合德美转加</t>
  </si>
  <si>
    <t>合德美转加</t>
  </si>
  <si>
    <t>N19加西海派-合德美转加</t>
  </si>
  <si>
    <t>N20加东海派-合德美转加</t>
  </si>
  <si>
    <t>N22加东卡派-合德美转加</t>
  </si>
  <si>
    <t>COSCO美转加</t>
  </si>
  <si>
    <t>N23加西海派-COSCO美转加</t>
  </si>
  <si>
    <t>N24加东海派-COSCO美转加</t>
  </si>
  <si>
    <t>N25加西卡派-COSCO美转加</t>
  </si>
  <si>
    <t>N26加东卡派-COSCO美转加</t>
  </si>
  <si>
    <t>美森美转加</t>
  </si>
  <si>
    <t>N27加东海派-美森美转加</t>
  </si>
  <si>
    <t>N28加西海派-美森美转加</t>
  </si>
  <si>
    <t>N29加东卡派-美森美转加</t>
  </si>
  <si>
    <t>N30加西卡派-美森美转加</t>
  </si>
  <si>
    <t>整柜直送</t>
  </si>
  <si>
    <t>N31加拿大整柜直送</t>
  </si>
  <si>
    <t>英国海运北极快线</t>
  </si>
  <si>
    <t>B1北极快线快递派-VAT</t>
  </si>
  <si>
    <t>B2北极快线快递派-PVA</t>
  </si>
  <si>
    <t>B3北极快线快递派</t>
  </si>
  <si>
    <t>Y1北极快线卡派-VAT</t>
  </si>
  <si>
    <t>Y2北极快线卡派-PVA</t>
  </si>
  <si>
    <t>Y3北极快线卡派</t>
  </si>
  <si>
    <t>Y4北极快线商私地址卡派</t>
  </si>
  <si>
    <t>Y7北极快线商私地址卡派-VAT</t>
  </si>
  <si>
    <t>Y8北极快线商私地址卡派-PVA</t>
  </si>
  <si>
    <t>东一中欧卡航</t>
  </si>
  <si>
    <t>W4中欧卡航-快递派</t>
  </si>
  <si>
    <t>W6中欧卡航暂存中转</t>
  </si>
  <si>
    <t>W6中欧卡航一件代发</t>
  </si>
  <si>
    <t>W6中欧卡航-卡派</t>
  </si>
  <si>
    <t>东一中英卡航</t>
  </si>
  <si>
    <t>W1中英卡航VAT-快递派</t>
  </si>
  <si>
    <t>W2中英卡航PVA-快递派</t>
  </si>
  <si>
    <t>W3中英卡航-快递派</t>
  </si>
  <si>
    <t>W7中英卡航 VAT-卡派</t>
  </si>
  <si>
    <t>W8中英卡航 PVA-卡派</t>
  </si>
  <si>
    <t>W9中英卡航-卡派</t>
  </si>
  <si>
    <t>东一商私地址卡派</t>
  </si>
  <si>
    <t>W11中欧卡航商私地址卡派</t>
  </si>
  <si>
    <t>W13中英卡航商私地址卡派</t>
  </si>
  <si>
    <t>W14中英卡航商私地址卡派-VAT</t>
  </si>
  <si>
    <t>W15中英卡航商私地址卡派-PVA</t>
  </si>
  <si>
    <t>地址简称*（复制到前面）</t>
  </si>
  <si>
    <t>地址编码</t>
  </si>
  <si>
    <t>FBA仓库代码</t>
  </si>
  <si>
    <t>联系人*</t>
  </si>
  <si>
    <t>公司名</t>
  </si>
  <si>
    <t>联系电话</t>
  </si>
  <si>
    <t>联系手机</t>
  </si>
  <si>
    <t>地址一*</t>
  </si>
  <si>
    <t>地址二</t>
  </si>
  <si>
    <t>地址三</t>
  </si>
  <si>
    <t>城市*</t>
  </si>
  <si>
    <t>省/洲</t>
  </si>
  <si>
    <t>国家*</t>
  </si>
  <si>
    <t>邮编*</t>
  </si>
  <si>
    <t>XUKS</t>
  </si>
  <si>
    <t>Amazon Fulfillment Center</t>
  </si>
  <si>
    <t>00000000</t>
  </si>
  <si>
    <t>CEVA Logistics Unit 11, Wilders Way</t>
  </si>
  <si>
    <t>.</t>
  </si>
  <si>
    <t>Derby</t>
  </si>
  <si>
    <t>Leicestershire</t>
  </si>
  <si>
    <t>GB</t>
  </si>
  <si>
    <t>DE74 2XL</t>
  </si>
  <si>
    <t>XUKD</t>
  </si>
  <si>
    <t>Unit A Daventry Distribution Centre</t>
  </si>
  <si>
    <t>XPO Logistics</t>
  </si>
  <si>
    <t>DAVENTRY</t>
  </si>
  <si>
    <t>NN11 8LR</t>
  </si>
  <si>
    <t>XUKA</t>
  </si>
  <si>
    <t>Whitehouse Industrial Estate</t>
  </si>
  <si>
    <t>Aston Lane North Preston Brook</t>
  </si>
  <si>
    <t>Runcorn</t>
  </si>
  <si>
    <t>Cheshire</t>
  </si>
  <si>
    <t>WA7 3BN</t>
  </si>
  <si>
    <t>XPL1</t>
  </si>
  <si>
    <t>Foundry Point,Halebank Industrial</t>
  </si>
  <si>
    <t>Estate Foundry Lane</t>
  </si>
  <si>
    <t>WIDNES</t>
  </si>
  <si>
    <t>WA8 8YN</t>
  </si>
  <si>
    <t>XLT2</t>
  </si>
  <si>
    <t>Unit 12, Holkham Road</t>
  </si>
  <si>
    <t>Overton Park</t>
  </si>
  <si>
    <t>PETERBOROUGH</t>
  </si>
  <si>
    <t>Cambridgeshire</t>
  </si>
  <si>
    <t>PE2 6TE</t>
  </si>
  <si>
    <t>XLT1</t>
  </si>
  <si>
    <t>Units 9 and 10 Manasty Rd</t>
  </si>
  <si>
    <t>PE2 6UG</t>
  </si>
  <si>
    <t>XLP1</t>
  </si>
  <si>
    <t>Deeside Industrial Park, Zone 3</t>
  </si>
  <si>
    <t>DEESIDE</t>
  </si>
  <si>
    <t>Flintshire</t>
  </si>
  <si>
    <t>CH5 2LL</t>
  </si>
  <si>
    <t>XDS1</t>
  </si>
  <si>
    <t>Gateway 4 Jackson Lane Dale View</t>
  </si>
  <si>
    <t>DONCASTER</t>
  </si>
  <si>
    <t>Yorkshire</t>
  </si>
  <si>
    <t>DN3 3FX</t>
  </si>
  <si>
    <t>XBH7</t>
  </si>
  <si>
    <t>Fortress Way Suffolk Park</t>
  </si>
  <si>
    <t>BURY ST. EDMUNDS</t>
  </si>
  <si>
    <t>Suffolk</t>
  </si>
  <si>
    <t>IP32 7FQ</t>
  </si>
  <si>
    <t>XBH5</t>
  </si>
  <si>
    <t>Building MPS1 Hudson Way</t>
  </si>
  <si>
    <t>Magna Park South</t>
  </si>
  <si>
    <t>LUTTERWORTH</t>
  </si>
  <si>
    <t>East Midlands</t>
  </si>
  <si>
    <t>LE17 4XY</t>
  </si>
  <si>
    <t>XBH4</t>
  </si>
  <si>
    <t>GRAVELLY WAY CEVA Logistics</t>
  </si>
  <si>
    <t>WOLVERHAMPTON</t>
  </si>
  <si>
    <t>West Midlands</t>
  </si>
  <si>
    <t>WV10 7GW</t>
  </si>
  <si>
    <t>XBH2</t>
  </si>
  <si>
    <t>DC1 Pro Logis, Central Park</t>
  </si>
  <si>
    <t>RUGBY</t>
  </si>
  <si>
    <t>Warwickshire</t>
  </si>
  <si>
    <t>CV23 0WB</t>
  </si>
  <si>
    <t>XBH1</t>
  </si>
  <si>
    <t>Royal Oak Way North.</t>
  </si>
  <si>
    <t>Daventry</t>
  </si>
  <si>
    <t>NN11 8QL</t>
  </si>
  <si>
    <t>SUUK</t>
  </si>
  <si>
    <t>115 Worship Street</t>
  </si>
  <si>
    <t>London</t>
  </si>
  <si>
    <t>EC2A 2BA</t>
  </si>
  <si>
    <t>NCL2</t>
  </si>
  <si>
    <t>North Chapel Lane Wynyard</t>
  </si>
  <si>
    <t>Stockton-on-Tees</t>
  </si>
  <si>
    <t>Billingham</t>
  </si>
  <si>
    <t>TS22 5TH</t>
  </si>
  <si>
    <t>NCL1</t>
  </si>
  <si>
    <t>South Farm Follingsby Lane</t>
  </si>
  <si>
    <t>Felling</t>
  </si>
  <si>
    <t>Gateshead</t>
  </si>
  <si>
    <t>NE10 8YA</t>
  </si>
  <si>
    <t>MPCH</t>
  </si>
  <si>
    <t>Bankfield Enterprise Hub</t>
  </si>
  <si>
    <t>Ground Floor,32 Bankfield Street</t>
  </si>
  <si>
    <t>Bootle</t>
  </si>
  <si>
    <t>Merseyside</t>
  </si>
  <si>
    <t>L208EJ</t>
  </si>
  <si>
    <t>MME2</t>
  </si>
  <si>
    <t>PEAT EDGE FARM TURSDALE ROAD</t>
  </si>
  <si>
    <t>BOWBURN</t>
  </si>
  <si>
    <t>North East</t>
  </si>
  <si>
    <t>DH6 5NP</t>
  </si>
  <si>
    <t>MME1</t>
  </si>
  <si>
    <t>Building Oneton</t>
  </si>
  <si>
    <t>Darlington</t>
  </si>
  <si>
    <t>England</t>
  </si>
  <si>
    <t>DL1 4BF</t>
  </si>
  <si>
    <t>MAN4</t>
  </si>
  <si>
    <t>29 Gander Lane  CHESTERFIELD</t>
  </si>
  <si>
    <t>Derbyshire</t>
  </si>
  <si>
    <t>S43 4PZ</t>
  </si>
  <si>
    <t>MAN3</t>
  </si>
  <si>
    <t>360 Logistics North</t>
  </si>
  <si>
    <t>Over Hulton Bolton</t>
  </si>
  <si>
    <t>Manchester</t>
  </si>
  <si>
    <t>North West</t>
  </si>
  <si>
    <t>BL5 1EE</t>
  </si>
  <si>
    <t>MAN2</t>
  </si>
  <si>
    <t>Omega Plot 7c Orion Boulevard</t>
  </si>
  <si>
    <t>Warrington</t>
  </si>
  <si>
    <t>North West England</t>
  </si>
  <si>
    <t>WA5 3XA</t>
  </si>
  <si>
    <t>MAN1</t>
  </si>
  <si>
    <t>6 Sunbank Lane Airport City</t>
  </si>
  <si>
    <t>Altrincham</t>
  </si>
  <si>
    <t>M90 5AA</t>
  </si>
  <si>
    <t>LTN9</t>
  </si>
  <si>
    <t>UNITS DC1 AND DC2 PROLOGIS</t>
  </si>
  <si>
    <t>BOSCOMBE ROAD</t>
  </si>
  <si>
    <t>DUNSTABLE</t>
  </si>
  <si>
    <t>LU5 4FE</t>
  </si>
  <si>
    <t>LTN7</t>
  </si>
  <si>
    <t>Bedford 405</t>
  </si>
  <si>
    <t>Bedford  Commercial Park</t>
  </si>
  <si>
    <t>Bedfordshire</t>
  </si>
  <si>
    <t>BEDFORD</t>
  </si>
  <si>
    <t>MK43 9JH</t>
  </si>
  <si>
    <t>LTN4</t>
  </si>
  <si>
    <t>Unit DC1 (Prologis) Boscombe Road</t>
  </si>
  <si>
    <t>Dunstable</t>
  </si>
  <si>
    <t>LU54FE</t>
  </si>
  <si>
    <t>LTN2</t>
  </si>
  <si>
    <t>Boundary Way</t>
  </si>
  <si>
    <t>Hemel Hempstead</t>
  </si>
  <si>
    <t>Hertfordshire</t>
  </si>
  <si>
    <t>HP2 7LF</t>
  </si>
  <si>
    <t>LTN1</t>
  </si>
  <si>
    <t>Marston Gate Fulfillment Centre</t>
  </si>
  <si>
    <t xml:space="preserve"> Ridg</t>
  </si>
  <si>
    <t>Ridgmont</t>
  </si>
  <si>
    <t>MK43 0ZA</t>
  </si>
  <si>
    <t>LPL2</t>
  </si>
  <si>
    <t>Unit 1 Marl Road PLP Knowsley</t>
  </si>
  <si>
    <t>LIVERPOOL</t>
  </si>
  <si>
    <t>Lancashire</t>
  </si>
  <si>
    <t>L33 7AP</t>
  </si>
  <si>
    <t>LCY3</t>
  </si>
  <si>
    <t>Unit 1 Powerhouse Drive</t>
  </si>
  <si>
    <t>DARTFORD</t>
  </si>
  <si>
    <t>DA1 5XU</t>
  </si>
  <si>
    <t>LCY2</t>
  </si>
  <si>
    <t>Amazon Distribution Depot Unit 2</t>
  </si>
  <si>
    <t>London Distribution Park</t>
  </si>
  <si>
    <t>Tilbury</t>
  </si>
  <si>
    <t>RM18 7AN</t>
  </si>
  <si>
    <t>LBA8</t>
  </si>
  <si>
    <t>Unit 2 Logic Leeds Skelton Moor Way</t>
  </si>
  <si>
    <t>Leeds</t>
  </si>
  <si>
    <t>LS15 0BF</t>
  </si>
  <si>
    <t>LBA8-3</t>
  </si>
  <si>
    <t>Unit 3 Logic Leeds skelton Moor Way</t>
  </si>
  <si>
    <t>LEEDS</t>
  </si>
  <si>
    <t>LBA4</t>
  </si>
  <si>
    <t>Unit IP9 Toronto Way</t>
  </si>
  <si>
    <t>New Rossington</t>
  </si>
  <si>
    <t>DN11 0GU</t>
  </si>
  <si>
    <t>LBA2</t>
  </si>
  <si>
    <t>Unit 1 (IP1= Amazon) Iport Avenue</t>
  </si>
  <si>
    <t>Doncaster</t>
  </si>
  <si>
    <t>Yorkshire and the Humber</t>
  </si>
  <si>
    <t>DN11 0BG</t>
  </si>
  <si>
    <t>LBA1</t>
  </si>
  <si>
    <t>Unit 1 Balby Carr bank</t>
  </si>
  <si>
    <t>DN4 5JS</t>
  </si>
  <si>
    <t>GLA1</t>
  </si>
  <si>
    <t>2 Cloch Road Faulds Park</t>
  </si>
  <si>
    <t>Gourock</t>
  </si>
  <si>
    <t>Inverclyde</t>
  </si>
  <si>
    <t>PA19 1BQ</t>
  </si>
  <si>
    <t>EUKD</t>
  </si>
  <si>
    <t>Foundry Point, Foundry Lane</t>
  </si>
  <si>
    <t>Halebank Industrial Estate</t>
  </si>
  <si>
    <t>Widnes</t>
  </si>
  <si>
    <t>EUKC</t>
  </si>
  <si>
    <t>Unit 1, Balby Carr bank</t>
  </si>
  <si>
    <t>EUKB</t>
  </si>
  <si>
    <t>Unit 12, Overton Park, Holkham Road</t>
  </si>
  <si>
    <t>Peterborough</t>
  </si>
  <si>
    <t>EUKA</t>
  </si>
  <si>
    <t>UNO UK，Units 9-10 Manasty Rd</t>
  </si>
  <si>
    <t>ORTON SOUTHGATE</t>
  </si>
  <si>
    <t>EUK5</t>
  </si>
  <si>
    <t>Phase Two, Kingston Park</t>
  </si>
  <si>
    <t>Flaxley Road</t>
  </si>
  <si>
    <t>PE2 9EN</t>
  </si>
  <si>
    <t>EMA4</t>
  </si>
  <si>
    <t>24 WHITMOOR DRIVE, MINWORTH</t>
  </si>
  <si>
    <t>Birmingham</t>
  </si>
  <si>
    <t>SUTTON COLDFIELD</t>
  </si>
  <si>
    <t>B76 9AH</t>
  </si>
  <si>
    <t>EMA3</t>
  </si>
  <si>
    <t>10 Oyster Rd, Eastwood</t>
  </si>
  <si>
    <t>Nottingham</t>
  </si>
  <si>
    <t>Nottinghamshire</t>
  </si>
  <si>
    <t>NG16 3UA</t>
  </si>
  <si>
    <t>EMA2</t>
  </si>
  <si>
    <t>SUMMIT PARK SHERWOOD WAY</t>
  </si>
  <si>
    <t>SOUTH SUTTON IN ASHFIELD</t>
  </si>
  <si>
    <t>Mansfield</t>
  </si>
  <si>
    <t>NG17 5NB</t>
  </si>
  <si>
    <t>EMA1</t>
  </si>
  <si>
    <t>Unit 1, Wilders Way</t>
  </si>
  <si>
    <t>DERBY</t>
  </si>
  <si>
    <t>DE74 2BB</t>
  </si>
  <si>
    <t>EDI4</t>
  </si>
  <si>
    <t>Amazon Way Dunfermline</t>
  </si>
  <si>
    <t>Dunfermline</t>
  </si>
  <si>
    <t>KY11 8ST</t>
  </si>
  <si>
    <t>DSA7</t>
  </si>
  <si>
    <t>Wakefield 515, Grovehall Lane</t>
  </si>
  <si>
    <t>KNOTTINGLEY</t>
  </si>
  <si>
    <t>West Yorkshire</t>
  </si>
  <si>
    <t>WF11 0AB</t>
  </si>
  <si>
    <t>DSA6</t>
  </si>
  <si>
    <t>New Market Lane</t>
  </si>
  <si>
    <t>Wakefield</t>
  </si>
  <si>
    <t>LS26 9DN</t>
  </si>
  <si>
    <t>DPD</t>
  </si>
  <si>
    <t>Roebuck Lane</t>
  </si>
  <si>
    <t>Smethwick</t>
  </si>
  <si>
    <t>B66 1BY</t>
  </si>
  <si>
    <t>CWL1</t>
  </si>
  <si>
    <t>Ffordd Amazon  Swansea，  Wales</t>
  </si>
  <si>
    <t>Swansea</t>
  </si>
  <si>
    <t>Wales</t>
  </si>
  <si>
    <t>SA1 8QX</t>
  </si>
  <si>
    <t>BRS2</t>
  </si>
  <si>
    <t>Unit 2,Symmetry Park Laines Way</t>
  </si>
  <si>
    <t>South Marston</t>
  </si>
  <si>
    <t>SWINDON</t>
  </si>
  <si>
    <t>SN3 4DB</t>
  </si>
  <si>
    <t>BRS1</t>
  </si>
  <si>
    <t>Goldcrest Way South West</t>
  </si>
  <si>
    <t>Bristol</t>
  </si>
  <si>
    <t>BS35 4DJ</t>
  </si>
  <si>
    <t>BHX8</t>
  </si>
  <si>
    <t>Unit A, Gateway, Coventry Hwy</t>
  </si>
  <si>
    <t>REDDITCH</t>
  </si>
  <si>
    <t>B98 9AY</t>
  </si>
  <si>
    <t>BHX7</t>
  </si>
  <si>
    <t>Unit 2, Hinckley Park</t>
  </si>
  <si>
    <t>LE10 3FF</t>
  </si>
  <si>
    <t>BHX5</t>
  </si>
  <si>
    <t>Unit 3 Rugby</t>
  </si>
  <si>
    <t>CV23 0XF</t>
  </si>
  <si>
    <t>BHX4</t>
  </si>
  <si>
    <t>Plot 1, Lyons Park, Sayer Dr</t>
  </si>
  <si>
    <t>Coventry</t>
  </si>
  <si>
    <t>CV5 9PF</t>
  </si>
  <si>
    <t>BHX3-NN11 8PQ</t>
  </si>
  <si>
    <t>BHX3-2</t>
  </si>
  <si>
    <t>4 Royal Oak Way North</t>
  </si>
  <si>
    <t>Northamptonshire</t>
  </si>
  <si>
    <t>NN11 8PQ</t>
  </si>
  <si>
    <t>BHX3-NN11 8QL</t>
  </si>
  <si>
    <t>BHX3</t>
  </si>
  <si>
    <t>BHX2</t>
  </si>
  <si>
    <t>Unit 1 Robson Way Ellistown</t>
  </si>
  <si>
    <t>COALVILLE</t>
  </si>
  <si>
    <t>LE67 1FB</t>
  </si>
  <si>
    <t>BHX1</t>
  </si>
  <si>
    <t xml:space="preserve">Towers Business Park </t>
  </si>
  <si>
    <t>Power Station Road</t>
  </si>
  <si>
    <t>RUGELEY</t>
  </si>
  <si>
    <t>WS15 1LX</t>
  </si>
  <si>
    <t>XBH9</t>
  </si>
  <si>
    <t>Amazon Fulfilment Center</t>
  </si>
  <si>
    <t>Panattoni Park Avonmouth</t>
  </si>
  <si>
    <t>BS10 7SD</t>
  </si>
  <si>
    <t>4PX-FEL-IP11 3SG</t>
  </si>
  <si>
    <t>4PX-FEL</t>
  </si>
  <si>
    <t>4PX UK Warehouse</t>
  </si>
  <si>
    <t>Unit 15, Port of Felixstowe</t>
  </si>
  <si>
    <t>Felixstowe</t>
  </si>
  <si>
    <t>IP11 3SG</t>
  </si>
  <si>
    <t>4PX-LON-SS17 9BY</t>
  </si>
  <si>
    <t>4PX-LON</t>
  </si>
  <si>
    <t>4PX Distribution Centre</t>
  </si>
  <si>
    <t>Building 3, London Gateway</t>
  </si>
  <si>
    <t>Logistics Park</t>
  </si>
  <si>
    <t>Stanford-le-Hope</t>
  </si>
  <si>
    <t>Essex</t>
  </si>
  <si>
    <t>SS17 9BY</t>
  </si>
  <si>
    <t>GW-1-RM18 7AN</t>
  </si>
  <si>
    <t>GW-1</t>
  </si>
  <si>
    <t>Grain Warehouse</t>
  </si>
  <si>
    <t>Unit 5, London Gateway</t>
  </si>
  <si>
    <t>Logistics Park, Thames Avenue</t>
  </si>
  <si>
    <t>GW-2-B26 3QY</t>
  </si>
  <si>
    <t>GW-2</t>
  </si>
  <si>
    <t>Building 3, Prologis Park</t>
  </si>
  <si>
    <t>Coventry Road</t>
  </si>
  <si>
    <t>B26 3QY</t>
  </si>
  <si>
    <t>GW-3-M90 5DL</t>
  </si>
  <si>
    <t>GW-3</t>
  </si>
  <si>
    <t xml:space="preserve">Plot 10, Ringway Road,Manchester </t>
  </si>
  <si>
    <t>International Freight Terminal</t>
  </si>
  <si>
    <t>M90 5DL</t>
  </si>
  <si>
    <t>WINIT-1-EN3 7XQ</t>
  </si>
  <si>
    <t>WINIT-1</t>
  </si>
  <si>
    <t>WinIt Logistic</t>
  </si>
  <si>
    <t>Unit 8, Gateway East Business Park</t>
  </si>
  <si>
    <t>Mollison Avenue</t>
  </si>
  <si>
    <t>Enfield</t>
  </si>
  <si>
    <t>EN3 7XQ</t>
  </si>
  <si>
    <t>WINIT-2-B76 1XL</t>
  </si>
  <si>
    <t>WINIT-2</t>
  </si>
  <si>
    <t>Building 12, Prologis Park Midpoint</t>
  </si>
  <si>
    <t>Minworth Industrial Estate</t>
  </si>
  <si>
    <t>B76 1XL</t>
  </si>
  <si>
    <t>WINIT-3-M17 1AB</t>
  </si>
  <si>
    <t>WINIT-3</t>
  </si>
  <si>
    <t>Plot 5 Trafford Park Logistics Hub</t>
  </si>
  <si>
    <t>Wharfside Way</t>
  </si>
  <si>
    <t>M17 1AB</t>
  </si>
  <si>
    <t>GCSS-GB</t>
  </si>
  <si>
    <t>GCSS</t>
  </si>
  <si>
    <t>Panattoni Park J28 Central M1</t>
  </si>
  <si>
    <t xml:space="preserve"> Mansfield Rd,Alfreton</t>
  </si>
  <si>
    <t xml:space="preserve">South Normanton </t>
  </si>
  <si>
    <t>DE55 2EF</t>
  </si>
  <si>
    <t>4PX-LU5 4RZ</t>
  </si>
  <si>
    <t>4PX-8</t>
  </si>
  <si>
    <t>Unit-2 Prologis Park, Arenson Way</t>
  </si>
  <si>
    <t>LU5 4RZ</t>
  </si>
  <si>
    <t>GCSS-DE74 2HL</t>
  </si>
  <si>
    <t>GCSS-1</t>
  </si>
  <si>
    <t>BHX-23</t>
  </si>
  <si>
    <t>Super Smart Service 363</t>
  </si>
  <si>
    <t>East Midlands Distribution Centre</t>
  </si>
  <si>
    <t>Castle Donington</t>
  </si>
  <si>
    <t>DE74 2HL</t>
  </si>
  <si>
    <t>4PX-LE19 4DB</t>
  </si>
  <si>
    <t>4PX</t>
  </si>
  <si>
    <t>01582477267</t>
  </si>
  <si>
    <t>Leicester Commercial Park</t>
  </si>
  <si>
    <t>Unit 1,Dorsey Way,Enderby</t>
  </si>
  <si>
    <t>Leicester</t>
  </si>
  <si>
    <t>LE19 4DB</t>
  </si>
  <si>
    <t>YYZ9</t>
  </si>
  <si>
    <t>Amazon</t>
  </si>
  <si>
    <t>6351 Steeles Ave E</t>
  </si>
  <si>
    <t>Scarborough</t>
  </si>
  <si>
    <t>ON</t>
  </si>
  <si>
    <t>CA</t>
  </si>
  <si>
    <t>M1X 1N5</t>
  </si>
  <si>
    <t>YYZ7</t>
  </si>
  <si>
    <t>12724 Coleraine Drive</t>
  </si>
  <si>
    <t>Bolton</t>
  </si>
  <si>
    <t>L7E 4L8</t>
  </si>
  <si>
    <t>YYZ4</t>
  </si>
  <si>
    <t>8050 Heritage Road</t>
  </si>
  <si>
    <t>Brampton</t>
  </si>
  <si>
    <t>L6Y 6L5</t>
  </si>
  <si>
    <t>YYZ3</t>
  </si>
  <si>
    <t>7995 Winston Churchill Blvd.</t>
  </si>
  <si>
    <t>L6Y 5Z4</t>
  </si>
  <si>
    <t>YYZ2</t>
  </si>
  <si>
    <t>2750 Peddie Rd.</t>
  </si>
  <si>
    <t>Milton</t>
  </si>
  <si>
    <t>L9T 0K1</t>
  </si>
  <si>
    <t>YYZ1</t>
  </si>
  <si>
    <t>6363 Millcreek Drive</t>
  </si>
  <si>
    <t>Mississauga</t>
  </si>
  <si>
    <t>L5N 1L8</t>
  </si>
  <si>
    <t>YYC6</t>
  </si>
  <si>
    <t>9705 68 ST SE</t>
  </si>
  <si>
    <t>Calgary</t>
  </si>
  <si>
    <t>AB</t>
  </si>
  <si>
    <t>T2C 5V8</t>
  </si>
  <si>
    <t>6635 106 AVE SE</t>
  </si>
  <si>
    <t>CALGARY</t>
  </si>
  <si>
    <t>T2C 5X1</t>
  </si>
  <si>
    <t>YYC1</t>
  </si>
  <si>
    <t>293069 Colonel Robertson Way</t>
  </si>
  <si>
    <t>T4A 1C6</t>
  </si>
  <si>
    <t>YXX2</t>
  </si>
  <si>
    <t>16131 Blundell Road</t>
  </si>
  <si>
    <t>Richmond</t>
  </si>
  <si>
    <t>BC</t>
  </si>
  <si>
    <t>V6W 0A3</t>
  </si>
  <si>
    <t>YXU1</t>
  </si>
  <si>
    <t>11884 Sunset Dr.</t>
  </si>
  <si>
    <t>St. Thomas</t>
  </si>
  <si>
    <t>N5P 0G9</t>
  </si>
  <si>
    <t>YVR4</t>
  </si>
  <si>
    <t>4189 Salish Sea Way</t>
  </si>
  <si>
    <t>Tsawwassen</t>
  </si>
  <si>
    <t>V4M 0B9</t>
  </si>
  <si>
    <t>YVR3</t>
  </si>
  <si>
    <t>109 Braid Street</t>
  </si>
  <si>
    <t>New Westminster</t>
  </si>
  <si>
    <t>V3L5H4</t>
  </si>
  <si>
    <t>YVR2</t>
  </si>
  <si>
    <t>450 Derwent PL Delta</t>
  </si>
  <si>
    <t>Delta</t>
  </si>
  <si>
    <t>V3M 5Y9</t>
  </si>
  <si>
    <t>YVR1</t>
  </si>
  <si>
    <t>Vancouver</t>
  </si>
  <si>
    <t>YUL2</t>
  </si>
  <si>
    <t>3000 Rue Louis A Amos</t>
  </si>
  <si>
    <t>Lachine</t>
  </si>
  <si>
    <t>QC</t>
  </si>
  <si>
    <t>H8T 3P8</t>
  </si>
  <si>
    <t>YOW3</t>
  </si>
  <si>
    <t>222 Citigate Drive</t>
  </si>
  <si>
    <t>Nepean (Barrhaven)</t>
  </si>
  <si>
    <t>K2J 7C7</t>
  </si>
  <si>
    <t>YOW1</t>
  </si>
  <si>
    <t>5225 Boundary Road</t>
  </si>
  <si>
    <t>Navan</t>
  </si>
  <si>
    <t>K4B 0L3</t>
  </si>
  <si>
    <t>YOO1</t>
  </si>
  <si>
    <t>789 Salem Rd</t>
  </si>
  <si>
    <t>Ajax</t>
  </si>
  <si>
    <t>L1Z 0J2</t>
  </si>
  <si>
    <t>YHM1</t>
  </si>
  <si>
    <t>110 Aeropark Blvd.</t>
  </si>
  <si>
    <t>MOUNT HOPE</t>
  </si>
  <si>
    <t>L0R 1W1</t>
  </si>
  <si>
    <t>YGK1</t>
  </si>
  <si>
    <t>640 COLLEGE ST E</t>
  </si>
  <si>
    <t>BELLEVILLE</t>
  </si>
  <si>
    <t>K8N 0V2</t>
  </si>
  <si>
    <t>YEG2</t>
  </si>
  <si>
    <t>27383 92 Ave</t>
  </si>
  <si>
    <t>Acheson</t>
  </si>
  <si>
    <t>T7X 2X2</t>
  </si>
  <si>
    <t>YEG1</t>
  </si>
  <si>
    <t>1440 39 AVE</t>
  </si>
  <si>
    <t>Nisku</t>
  </si>
  <si>
    <t>T9E 0B4</t>
  </si>
  <si>
    <t>YDC5</t>
  </si>
  <si>
    <t>292205 NOSE CREEK BLVD</t>
  </si>
  <si>
    <t>ROCKY VIEW COUNTY</t>
  </si>
  <si>
    <t>T4A 3N7</t>
  </si>
  <si>
    <t>XYY1</t>
  </si>
  <si>
    <t>271 Church St S</t>
  </si>
  <si>
    <t>L1S 0J2</t>
  </si>
  <si>
    <t>XYY4</t>
  </si>
  <si>
    <t>10725 Louis St Laurent Ave</t>
  </si>
  <si>
    <t>L9E 2C7</t>
  </si>
  <si>
    <t>MAD4</t>
  </si>
  <si>
    <t>Avenida de la Astronomia 24</t>
  </si>
  <si>
    <t>San Fernando de Henares</t>
  </si>
  <si>
    <t>Madrid</t>
  </si>
  <si>
    <t>ES</t>
  </si>
  <si>
    <t>XESB</t>
  </si>
  <si>
    <t>ES FBA FLEX Avenida Rio Henares 16</t>
  </si>
  <si>
    <t>Guadalajara</t>
  </si>
  <si>
    <t>Alovera</t>
  </si>
  <si>
    <t>XESA</t>
  </si>
  <si>
    <t>AVDEL RIO HENARES 16</t>
  </si>
  <si>
    <t>BCN1</t>
  </si>
  <si>
    <t>Av. de les Garrigues 6-8</t>
  </si>
  <si>
    <t>El Prat de Llobregat</t>
  </si>
  <si>
    <t>Barcelona</t>
  </si>
  <si>
    <t>08820</t>
  </si>
  <si>
    <t>BCN2</t>
  </si>
  <si>
    <t>Carrer de la VERNEDA 22 </t>
  </si>
  <si>
    <t>MARTORELLES</t>
  </si>
  <si>
    <t>08107</t>
  </si>
  <si>
    <t>MAD6</t>
  </si>
  <si>
    <t>Avenida de la Logistica 13</t>
  </si>
  <si>
    <t>illescas</t>
  </si>
  <si>
    <t>Toledo</t>
  </si>
  <si>
    <t>SVQ1</t>
  </si>
  <si>
    <t>Poligono Sen</t>
  </si>
  <si>
    <t>Dos Hermanas Seville</t>
  </si>
  <si>
    <t>Andalusia </t>
  </si>
  <si>
    <t>MAD9</t>
  </si>
  <si>
    <t>Camino de los Afligidos</t>
  </si>
  <si>
    <t>Alcala de Henares</t>
  </si>
  <si>
    <t>PESG</t>
  </si>
  <si>
    <t>CEVA Logistics Avenida Hontalba 6</t>
  </si>
  <si>
    <t>Illescas</t>
  </si>
  <si>
    <t>RMU1</t>
  </si>
  <si>
    <t>Calle Isidro Vivancos Munoz Parque</t>
  </si>
  <si>
    <t xml:space="preserve"> Logistico del Sureste</t>
  </si>
  <si>
    <t>Murcia</t>
  </si>
  <si>
    <t>MAD7</t>
  </si>
  <si>
    <t>Carretera antigua Madrid-Toledo 38D</t>
  </si>
  <si>
    <t>VLC1</t>
  </si>
  <si>
    <t>Calle Panama 28</t>
  </si>
  <si>
    <t>Onda</t>
  </si>
  <si>
    <t>Castellon</t>
  </si>
  <si>
    <t>BCN8</t>
  </si>
  <si>
    <t>Carrer Ca n'Alzina, 161</t>
  </si>
  <si>
    <t>Sabadell</t>
  </si>
  <si>
    <t>08210</t>
  </si>
  <si>
    <t>ZAZ1</t>
  </si>
  <si>
    <t>Parcelas: ALI-28 y ALI-2</t>
  </si>
  <si>
    <t>Zaragoza</t>
  </si>
  <si>
    <t>Aragon</t>
  </si>
  <si>
    <t>XMA3</t>
  </si>
  <si>
    <t>P.I. Dehesa de la Plata 1</t>
  </si>
  <si>
    <t>Ontigola</t>
  </si>
  <si>
    <t>MXP5</t>
  </si>
  <si>
    <t>Strada Dogana Po,2U</t>
  </si>
  <si>
    <t>Castel San Giovanni</t>
  </si>
  <si>
    <t>Piacenza</t>
  </si>
  <si>
    <t>IT</t>
  </si>
  <si>
    <t>FCO1</t>
  </si>
  <si>
    <t>Via della Meccanica snc 4</t>
  </si>
  <si>
    <t>Passo Corese</t>
  </si>
  <si>
    <t>Rieti</t>
  </si>
  <si>
    <t>02032</t>
  </si>
  <si>
    <t>MXP3</t>
  </si>
  <si>
    <t>Via Rita Levi Montalcini</t>
  </si>
  <si>
    <t>Vercelli</t>
  </si>
  <si>
    <t>XITC</t>
  </si>
  <si>
    <t>Via Aldo Moro 4</t>
  </si>
  <si>
    <t>Francolino di Carpiano</t>
  </si>
  <si>
    <t>Carpiano</t>
  </si>
  <si>
    <t>TRN1</t>
  </si>
  <si>
    <t>Strada Provinciale perRondissone90 </t>
  </si>
  <si>
    <t>Torrazza</t>
  </si>
  <si>
    <t>Piemonte</t>
  </si>
  <si>
    <t>XMP2</t>
  </si>
  <si>
    <t>Via Aldo Moro 4 </t>
  </si>
  <si>
    <t>Francolino di Carpiano</t>
  </si>
  <si>
    <t>Carpiano </t>
  </si>
  <si>
    <t>XMP1</t>
  </si>
  <si>
    <t>Via Maestri Del Lavoro, 990 </t>
  </si>
  <si>
    <t>Arqua Polesine</t>
  </si>
  <si>
    <t>Rovigo </t>
  </si>
  <si>
    <t>BLQ1</t>
  </si>
  <si>
    <t>Via Ipazia D’Alessandria 946</t>
  </si>
  <si>
    <t>San Bellino</t>
  </si>
  <si>
    <t>(Rovigo)</t>
  </si>
  <si>
    <t>FCO2</t>
  </si>
  <si>
    <t>Via Palianese</t>
  </si>
  <si>
    <t> Colleferro</t>
  </si>
  <si>
    <t>Rome</t>
  </si>
  <si>
    <t>00034</t>
  </si>
  <si>
    <t>MXP6</t>
  </si>
  <si>
    <t>Strada Provinciale</t>
  </si>
  <si>
    <t>AGOGNATE</t>
  </si>
  <si>
    <t>NOVARA</t>
  </si>
  <si>
    <t>BGY1-10</t>
  </si>
  <si>
    <t>BGY1-1</t>
  </si>
  <si>
    <t>Via delle Motte no10 </t>
  </si>
  <si>
    <t>Cividate al Piano</t>
  </si>
  <si>
    <t>BERGAMO</t>
  </si>
  <si>
    <t>XITF</t>
  </si>
  <si>
    <t>Strada della Torre della Razza 62</t>
  </si>
  <si>
    <t>Le mose</t>
  </si>
  <si>
    <t>PSR2</t>
  </si>
  <si>
    <t>Viale Germania 29</t>
  </si>
  <si>
    <t>San Salvo</t>
  </si>
  <si>
    <t>CH</t>
  </si>
  <si>
    <t>XMP4</t>
  </si>
  <si>
    <t>Zona Industriale Strada per</t>
  </si>
  <si>
    <t>Casei Gerola</t>
  </si>
  <si>
    <t>Lombardy</t>
  </si>
  <si>
    <t>XLI3</t>
  </si>
  <si>
    <t xml:space="preserve">Strada Provinciale 128 km 2 </t>
  </si>
  <si>
    <t>Geodis Logistics S.p.A.</t>
  </si>
  <si>
    <t>Marzano</t>
  </si>
  <si>
    <t>Pavia</t>
  </si>
  <si>
    <t>FCO5</t>
  </si>
  <si>
    <t>Via di Valle Caia snc</t>
  </si>
  <si>
    <t>Ardea</t>
  </si>
  <si>
    <t>00040</t>
  </si>
  <si>
    <t>TRN3</t>
  </si>
  <si>
    <t>Str. John Fitzgerald Kennedy</t>
  </si>
  <si>
    <t>Alessandria</t>
  </si>
  <si>
    <t>Piedmont</t>
  </si>
  <si>
    <t>BLQ8</t>
  </si>
  <si>
    <t>Via Pelloni 5</t>
  </si>
  <si>
    <t>Spilamberto</t>
  </si>
  <si>
    <t>Modena</t>
  </si>
  <si>
    <t>XLI4</t>
  </si>
  <si>
    <t>1 Av. du Superbe Orenoque</t>
  </si>
  <si>
    <t>Boves</t>
  </si>
  <si>
    <t>FR</t>
  </si>
  <si>
    <t>BVA1</t>
  </si>
  <si>
    <t>CDFR</t>
  </si>
  <si>
    <t>5 avenue de Guitayne</t>
  </si>
  <si>
    <t>Zone Industrielle du Courneau</t>
  </si>
  <si>
    <t>CANEJAN</t>
  </si>
  <si>
    <t>CDG7-60300</t>
  </si>
  <si>
    <t>CDG7-1</t>
  </si>
  <si>
    <t>Parc d.activites des Portes</t>
  </si>
  <si>
    <t>1 avenue Alain Boucher</t>
  </si>
  <si>
    <t>Senlis</t>
  </si>
  <si>
    <t>Oise </t>
  </si>
  <si>
    <t>ETZ2</t>
  </si>
  <si>
    <t>rue de la Croix de Lorraine 1</t>
  </si>
  <si>
    <t>Augny</t>
  </si>
  <si>
    <t>Moselle</t>
  </si>
  <si>
    <t>IBV3</t>
  </si>
  <si>
    <t>1710 Rue de la Plaine France</t>
  </si>
  <si>
    <t>Lauwin-Planque</t>
  </si>
  <si>
    <t>Hauts-de-France</t>
  </si>
  <si>
    <t>LIL1-59553</t>
  </si>
  <si>
    <t>LIL1</t>
  </si>
  <si>
    <t>1,Rue Amazon</t>
  </si>
  <si>
    <t>LIL1-59353</t>
  </si>
  <si>
    <t>LIL1-2</t>
  </si>
  <si>
    <t>l, Rue Amazon</t>
  </si>
  <si>
    <t>LAUWIN PLANQUE CEDEX</t>
  </si>
  <si>
    <t>LIL8</t>
  </si>
  <si>
    <t>LYS1</t>
  </si>
  <si>
    <t>Distripôle Châlons ZAC Val</t>
  </si>
  <si>
    <t>de Bourgogne</t>
  </si>
  <si>
    <t xml:space="preserve"> SEVREY CEDEX</t>
  </si>
  <si>
    <t>MRS1</t>
  </si>
  <si>
    <t>Bâtiment 2 Rue Joseph Lagarde</t>
  </si>
  <si>
    <t>ZAC Les Portes de Provence</t>
  </si>
  <si>
    <t>Montélimar</t>
  </si>
  <si>
    <t>Drôme</t>
  </si>
  <si>
    <t>ORY1</t>
  </si>
  <si>
    <t>Pole 45 1401 rue du Champ Rouge</t>
  </si>
  <si>
    <t>Saran</t>
  </si>
  <si>
    <t>ORY4</t>
  </si>
  <si>
    <t xml:space="preserve">20 AVENUE DU CENTRE D'ESSAI EN VOL </t>
  </si>
  <si>
    <t>BRETIGNY SUR ORGE</t>
  </si>
  <si>
    <t>Essonne</t>
  </si>
  <si>
    <t>VESK</t>
  </si>
  <si>
    <t>7 rue du Chrome</t>
  </si>
  <si>
    <t>Savigny le Temple</t>
  </si>
  <si>
    <t>Ile de France</t>
  </si>
  <si>
    <t>XCD1</t>
  </si>
  <si>
    <t>50 Boulevard de I Europe</t>
  </si>
  <si>
    <t>Combs-la-ville</t>
  </si>
  <si>
    <t>XFRG</t>
  </si>
  <si>
    <t>XPO Artenay NS 3PL  ZAC du Moulin</t>
  </si>
  <si>
    <t>Artenay</t>
  </si>
  <si>
    <t>Loiret</t>
  </si>
  <si>
    <t>XFRJ</t>
  </si>
  <si>
    <t>lle de France</t>
  </si>
  <si>
    <t>XFRN</t>
  </si>
  <si>
    <t>7 rue des Quatres Routes Geodis</t>
  </si>
  <si>
    <t>St Quentin Fallavier</t>
  </si>
  <si>
    <t>Auvergne-Rhone-Alpes</t>
  </si>
  <si>
    <t>XOR1</t>
  </si>
  <si>
    <t>Parc d’activité de l’A5 2449</t>
  </si>
  <si>
    <t>Rue Denis Papin</t>
  </si>
  <si>
    <t>Réau</t>
  </si>
  <si>
    <t>Île-de-France</t>
  </si>
  <si>
    <t>XOR2</t>
  </si>
  <si>
    <t xml:space="preserve">Parc des Chênes Nord 135 Rue du </t>
  </si>
  <si>
    <t>Brisson ZI St Quentin Fallavier</t>
  </si>
  <si>
    <t>Satolas-et-Bonce</t>
  </si>
  <si>
    <t>Isère</t>
  </si>
  <si>
    <t>XOR3</t>
  </si>
  <si>
    <t>Avenue Louis Renault,</t>
  </si>
  <si>
    <t>ZAC du Val Breon</t>
  </si>
  <si>
    <t>Chatres</t>
  </si>
  <si>
    <t>XOR4</t>
  </si>
  <si>
    <t>rue des Gaulois 370</t>
  </si>
  <si>
    <t>St Sauveur</t>
  </si>
  <si>
    <t>Hauts de France</t>
  </si>
  <si>
    <t>XOS1</t>
  </si>
  <si>
    <t>Rue de Corbehem 160</t>
  </si>
  <si>
    <t>Brebieres</t>
  </si>
  <si>
    <t>XVA1</t>
  </si>
  <si>
    <t xml:space="preserve">5 Rue Henri Guillaumet </t>
  </si>
  <si>
    <t>CEVA Logistics</t>
  </si>
  <si>
    <t>Bussy-Lettree</t>
  </si>
  <si>
    <t>Marne</t>
  </si>
  <si>
    <t>XSC1</t>
  </si>
  <si>
    <t>Hans-Geiger-Strasse 7</t>
  </si>
  <si>
    <t>Kaiserslautern</t>
  </si>
  <si>
    <t>Rheinland-Pfalz</t>
  </si>
  <si>
    <t>DE</t>
  </si>
  <si>
    <t>XPO1</t>
  </si>
  <si>
    <t>Am Zeugamt 6</t>
  </si>
  <si>
    <t>Oschatz</t>
  </si>
  <si>
    <t>Saxony</t>
  </si>
  <si>
    <t>04758</t>
  </si>
  <si>
    <t>XPLC</t>
  </si>
  <si>
    <t>XGEB</t>
  </si>
  <si>
    <t>Steinauer Weg 7b</t>
  </si>
  <si>
    <t>Aurach</t>
  </si>
  <si>
    <t>Bavaria</t>
  </si>
  <si>
    <t>XFR7</t>
  </si>
  <si>
    <t>Oggenhauser Hauptstrasse 151</t>
  </si>
  <si>
    <t>Heidenheim an der Brenz</t>
  </si>
  <si>
    <t>Baden Wurttemberg</t>
  </si>
  <si>
    <t>XFR4</t>
  </si>
  <si>
    <t>Mittelweserpark Brakenhof 20/24</t>
  </si>
  <si>
    <t>Estorf</t>
  </si>
  <si>
    <t>Lower Saxony</t>
  </si>
  <si>
    <t>XFR3</t>
  </si>
  <si>
    <t>Stadtring 265</t>
  </si>
  <si>
    <t>Michelstadt</t>
  </si>
  <si>
    <t>Darmstadt</t>
  </si>
  <si>
    <t>XFR2</t>
  </si>
  <si>
    <t>Industriegebiet Alsberg</t>
  </si>
  <si>
    <t>Rennerod</t>
  </si>
  <si>
    <t>Koblenz</t>
  </si>
  <si>
    <t>XFR1</t>
  </si>
  <si>
    <t>Zum Haarstrauch 9-15</t>
  </si>
  <si>
    <t>Hammersbach</t>
  </si>
  <si>
    <t>Hesse </t>
  </si>
  <si>
    <t>XDU2</t>
  </si>
  <si>
    <t>Im Lekkerland 2</t>
  </si>
  <si>
    <t>Oberhausen</t>
  </si>
  <si>
    <t>Nordrhein-Westfalen</t>
  </si>
  <si>
    <t>XDU1</t>
  </si>
  <si>
    <t> Bornwiese 1</t>
  </si>
  <si>
    <t>Malsfeld</t>
  </si>
  <si>
    <t>Hessen </t>
  </si>
  <si>
    <t>XDEV</t>
  </si>
  <si>
    <t>Groner Siekanger 3</t>
  </si>
  <si>
    <t xml:space="preserve"> (Building A/north)</t>
  </si>
  <si>
    <t>Goettingen</t>
  </si>
  <si>
    <t>Niedersachsen</t>
  </si>
  <si>
    <t>XDEH</t>
  </si>
  <si>
    <t>XDEA</t>
  </si>
  <si>
    <t xml:space="preserve">Industriegebiet Niederlehme </t>
  </si>
  <si>
    <t>Robert-Guthmann-Str. 30</t>
  </si>
  <si>
    <t>Koenigs Wusterhausen</t>
  </si>
  <si>
    <t>Brandenburg</t>
  </si>
  <si>
    <t>WRO5-02977</t>
  </si>
  <si>
    <t>WRO5-1</t>
  </si>
  <si>
    <t>Nardter Weg 2</t>
  </si>
  <si>
    <t>Hoyerswerda</t>
  </si>
  <si>
    <t>02977</t>
  </si>
  <si>
    <t>WRO1</t>
  </si>
  <si>
    <t>XWR3</t>
  </si>
  <si>
    <t>STR1</t>
  </si>
  <si>
    <t> Amazonstrasse 1 </t>
  </si>
  <si>
    <t>Pforzheim</t>
  </si>
  <si>
    <t>Baden-Wurttemberg</t>
  </si>
  <si>
    <t>SCN2</t>
  </si>
  <si>
    <t>Von-Miller-StraBe 24</t>
  </si>
  <si>
    <t>Rhineland- Palatinate</t>
  </si>
  <si>
    <t>RLG1</t>
  </si>
  <si>
    <t>Gewerbepark Ostsee 3</t>
  </si>
  <si>
    <t>Dummerstorf</t>
  </si>
  <si>
    <t>Mecklenburg-Vorpommern</t>
  </si>
  <si>
    <t>PAD1</t>
  </si>
  <si>
    <t>Aurea 10</t>
  </si>
  <si>
    <t>Oelde</t>
  </si>
  <si>
    <t>NUE1</t>
  </si>
  <si>
    <t>Amazonstraße 1</t>
  </si>
  <si>
    <t>Gattendorf</t>
  </si>
  <si>
    <t>MUC3</t>
  </si>
  <si>
    <t>Amazonstrasse  1</t>
  </si>
  <si>
    <t>Graben</t>
  </si>
  <si>
    <t>Bayern</t>
  </si>
  <si>
    <t>MHG9</t>
  </si>
  <si>
    <t>Ossenheimer Straße 7</t>
  </si>
  <si>
    <t>Kleinostheim</t>
  </si>
  <si>
    <t>LEJ5</t>
  </si>
  <si>
    <t>Am Steingarten  2</t>
  </si>
  <si>
    <t>GERA</t>
  </si>
  <si>
    <t>Thüringen</t>
  </si>
  <si>
    <t>07554</t>
  </si>
  <si>
    <t>LEJ3</t>
  </si>
  <si>
    <t>Bielefelder Strasse 9 </t>
  </si>
  <si>
    <t>Sulzetal</t>
  </si>
  <si>
    <t>Sachsen-Anhalt</t>
  </si>
  <si>
    <t>LEJ1</t>
  </si>
  <si>
    <t>Leipzig</t>
  </si>
  <si>
    <t>Sachsen</t>
  </si>
  <si>
    <t>04347</t>
  </si>
  <si>
    <t>LCJ2</t>
  </si>
  <si>
    <t>KTW5</t>
  </si>
  <si>
    <t>KSF7/IKS7</t>
  </si>
  <si>
    <t>Otto-Hahn-Strasse 3</t>
  </si>
  <si>
    <t>Wolfhagen</t>
  </si>
  <si>
    <t>Hesse</t>
  </si>
  <si>
    <t>KED9</t>
  </si>
  <si>
    <t>Amazonstrasse 1</t>
  </si>
  <si>
    <t>KDE9</t>
  </si>
  <si>
    <t>HAM2</t>
  </si>
  <si>
    <t>Borgwardstrasse 10</t>
  </si>
  <si>
    <t>Winsen (Luhe)</t>
  </si>
  <si>
    <t>HAJ1</t>
  </si>
  <si>
    <t>Zur Alten Molkerei 1</t>
  </si>
  <si>
    <t>Helmstedt</t>
  </si>
  <si>
    <t>FRA7</t>
  </si>
  <si>
    <t>Am Römig 5 </t>
  </si>
  <si>
    <t> Frankenthal</t>
  </si>
  <si>
    <t> Pfalz</t>
  </si>
  <si>
    <t>FRA3</t>
  </si>
  <si>
    <t>Amazonstrasse 1 </t>
  </si>
  <si>
    <t>Bad Hersfeld</t>
  </si>
  <si>
    <t>Hessen</t>
  </si>
  <si>
    <t>FRA1</t>
  </si>
  <si>
    <t>Am Schloß Eichhof 1</t>
  </si>
  <si>
    <t>Bad Herfeld</t>
  </si>
  <si>
    <t>EDEA</t>
  </si>
  <si>
    <t>Warmbreitbandstrasse 3 </t>
  </si>
  <si>
    <t>Dortmund</t>
  </si>
  <si>
    <t>North Rhine Westphalia</t>
  </si>
  <si>
    <t>EDE5</t>
  </si>
  <si>
    <t>Wahrbrink 23 </t>
  </si>
  <si>
    <t>Werne</t>
  </si>
  <si>
    <t>EDE4</t>
  </si>
  <si>
    <t>Wahrbrink 25</t>
  </si>
  <si>
    <t>DUS4</t>
  </si>
  <si>
    <t>Hamburgring 10</t>
  </si>
  <si>
    <t>Mönchengladbach</t>
  </si>
  <si>
    <t>DUS2</t>
  </si>
  <si>
    <t>Rheinberg</t>
  </si>
  <si>
    <t>DTM9/ITM8</t>
  </si>
  <si>
    <t>Brauckstraße 30</t>
  </si>
  <si>
    <t>Witten</t>
  </si>
  <si>
    <t>DTM3</t>
  </si>
  <si>
    <t>Warmbreitbandstraße 3</t>
  </si>
  <si>
    <t>Dortmund </t>
  </si>
  <si>
    <t>North Rhine-Westphalia</t>
  </si>
  <si>
    <t>DTM2</t>
  </si>
  <si>
    <t>Kaltbandstrasse 4 </t>
  </si>
  <si>
    <t>DTM1</t>
  </si>
  <si>
    <t>Raiffeisenstrasse 7</t>
  </si>
  <si>
    <t>DE01</t>
  </si>
  <si>
    <t>Gustav-kunst-str.2-16</t>
  </si>
  <si>
    <t>Hamburg</t>
  </si>
  <si>
    <t>CGN1</t>
  </si>
  <si>
    <t>Kobern-Gondorf</t>
  </si>
  <si>
    <t>Rheinland - Pfalz</t>
  </si>
  <si>
    <t>BRE4</t>
  </si>
  <si>
    <t>Max-Naumann-Strasse 1</t>
  </si>
  <si>
    <t>Achim</t>
  </si>
  <si>
    <t>BRE2</t>
  </si>
  <si>
    <t>Vechtaer Str. 35</t>
  </si>
  <si>
    <t>Großenkneten</t>
  </si>
  <si>
    <t>BER6</t>
  </si>
  <si>
    <t>Am Borsigturm 100</t>
  </si>
  <si>
    <t>Berlin</t>
  </si>
  <si>
    <t>BER3</t>
  </si>
  <si>
    <t>Havellandstrasse 5</t>
  </si>
  <si>
    <t>Brieselang</t>
  </si>
  <si>
    <t>BER8/IBE8</t>
  </si>
  <si>
    <t>Am Möllenpfuhl 2</t>
  </si>
  <si>
    <t>Schoenefeld</t>
  </si>
  <si>
    <t>GC-53881</t>
  </si>
  <si>
    <t>GC-1</t>
  </si>
  <si>
    <t>Heinrich-Barth-Straße 18A</t>
  </si>
  <si>
    <t>Euskirchen</t>
  </si>
  <si>
    <t>GC-53881-DE</t>
  </si>
  <si>
    <t>GC-2</t>
  </si>
  <si>
    <t>C/O Schneppenheimer Weg 67</t>
  </si>
  <si>
    <t>NorthRhineWestphalia</t>
  </si>
  <si>
    <t>4PX-55459-DE</t>
  </si>
  <si>
    <t>4PX-1</t>
  </si>
  <si>
    <t>Albert-Schweitzer-Str.1 Tor 20</t>
  </si>
  <si>
    <t xml:space="preserve">Grolsheim </t>
  </si>
  <si>
    <t xml:space="preserve">Rheinland-Pfalz </t>
  </si>
  <si>
    <t>4PX-28197-DE</t>
  </si>
  <si>
    <t>4PX-2</t>
  </si>
  <si>
    <t>Ludwig-Erhard-Straße 57</t>
  </si>
  <si>
    <t>Bremen</t>
  </si>
  <si>
    <t>OC-55450-DE</t>
  </si>
  <si>
    <t>OC-1</t>
  </si>
  <si>
    <t>Orange Connex Fulfillment Center</t>
  </si>
  <si>
    <t>An den Nahewiesen 1</t>
  </si>
  <si>
    <t>Langenlonsheim</t>
  </si>
  <si>
    <t>TS-63150-DE</t>
  </si>
  <si>
    <t>TS</t>
  </si>
  <si>
    <t>Teknihall Service GmbH</t>
  </si>
  <si>
    <t>Tor 1,Levi-Strauss-Allee 10-12</t>
  </si>
  <si>
    <t>Heusenstamm</t>
  </si>
  <si>
    <t>OS-28197-DE</t>
  </si>
  <si>
    <t>OS</t>
  </si>
  <si>
    <t xml:space="preserve">ONLINE SELLER </t>
  </si>
  <si>
    <t>C/O SENATOR-BLASE-STRASSE 13</t>
  </si>
  <si>
    <t>BREMEN</t>
  </si>
  <si>
    <t>OC-55459-DE</t>
  </si>
  <si>
    <t>OC-2</t>
  </si>
  <si>
    <t>Willy-Brandt-Allee 1</t>
  </si>
  <si>
    <t>XWR3-PL-55-040</t>
  </si>
  <si>
    <t>XWR3-1</t>
  </si>
  <si>
    <t>XWR3-PL</t>
  </si>
  <si>
    <t>Energetyczna</t>
  </si>
  <si>
    <t>Krzyżowice</t>
  </si>
  <si>
    <t>Dolnośląskie</t>
  </si>
  <si>
    <t>PL</t>
  </si>
  <si>
    <t>55-040</t>
  </si>
  <si>
    <t>XPO1-PL-66-340</t>
  </si>
  <si>
    <t>XPO1-1</t>
  </si>
  <si>
    <t>XPO1-PL</t>
  </si>
  <si>
    <t>Nowa Niedrzwica 58</t>
  </si>
  <si>
    <t>Przytoczna</t>
  </si>
  <si>
    <t>Gmina Przytoczna</t>
  </si>
  <si>
    <t>66-340</t>
  </si>
  <si>
    <t>WRO5-PL-59-225</t>
  </si>
  <si>
    <t>WRO5</t>
  </si>
  <si>
    <t>WRO5-PL</t>
  </si>
  <si>
    <t>Okmiany</t>
  </si>
  <si>
    <t>Dolnoslaskie voivodeship</t>
  </si>
  <si>
    <t>59-225</t>
  </si>
  <si>
    <t>WRO2-PL-55-040</t>
  </si>
  <si>
    <t>WRO2</t>
  </si>
  <si>
    <t>Logistyczna 6</t>
  </si>
  <si>
    <t>Bielany Wroclawskie</t>
  </si>
  <si>
    <t>Lower Silesia</t>
  </si>
  <si>
    <t>WRO1-PL-55-040</t>
  </si>
  <si>
    <t>WRO1-1</t>
  </si>
  <si>
    <t>WRO1-PL</t>
  </si>
  <si>
    <t xml:space="preserve"> Ul. Czekoladowa 1</t>
  </si>
  <si>
    <t>SZZ1</t>
  </si>
  <si>
    <t>Kołbaskowo 156</t>
  </si>
  <si>
    <t>Kołbaskowo</t>
  </si>
  <si>
    <t>72-001</t>
  </si>
  <si>
    <t>POZ2</t>
  </si>
  <si>
    <t>Chociule 100</t>
  </si>
  <si>
    <t>Chociule</t>
  </si>
  <si>
    <t>66-200</t>
  </si>
  <si>
    <t>POZ1-PL</t>
  </si>
  <si>
    <t>POZ1</t>
  </si>
  <si>
    <t xml:space="preserve">Ul. Poznanska 1d </t>
  </si>
  <si>
    <t>Sady</t>
  </si>
  <si>
    <t>Greater Poland</t>
  </si>
  <si>
    <t>62-080</t>
  </si>
  <si>
    <t>LCJ2-PL-95-200</t>
  </si>
  <si>
    <t>LCJ2-1</t>
  </si>
  <si>
    <t>LCJ2-PL</t>
  </si>
  <si>
    <t>Pawlikowice 155</t>
  </si>
  <si>
    <t>Pawlikowice</t>
  </si>
  <si>
    <t>95-200</t>
  </si>
  <si>
    <t>KTW5-PL-44-350</t>
  </si>
  <si>
    <t>KTW5-1</t>
  </si>
  <si>
    <t>KTW5-PL</t>
  </si>
  <si>
    <t>ul. Wilkowiec 4</t>
  </si>
  <si>
    <t>Gorzyczki</t>
  </si>
  <si>
    <t>Slaskie</t>
  </si>
  <si>
    <t>44-350</t>
  </si>
  <si>
    <t>KTW3</t>
  </si>
  <si>
    <t>Bojkowska</t>
  </si>
  <si>
    <t>Gliwice</t>
  </si>
  <si>
    <t>Śląskie</t>
  </si>
  <si>
    <t>44-141</t>
  </si>
  <si>
    <t>4PX-77230-FR</t>
  </si>
  <si>
    <t>4PX-3</t>
  </si>
  <si>
    <t xml:space="preserve">Bat-B, Porte- B 5 Rue de </t>
  </si>
  <si>
    <t>la Fontaine des Bries</t>
  </si>
  <si>
    <t>Moussy-le-neuf</t>
  </si>
  <si>
    <t>4PX-95310-FR</t>
  </si>
  <si>
    <t>4PX-4</t>
  </si>
  <si>
    <t xml:space="preserve">Saint-Ouen-l Aumône 8 rue de la </t>
  </si>
  <si>
    <t>Patelle Bat1 Porte-108 Saint-Ouen-l</t>
  </si>
  <si>
    <t>Aumône</t>
  </si>
  <si>
    <t>CD-77550-FR</t>
  </si>
  <si>
    <t>CD-FR</t>
  </si>
  <si>
    <t>Entrepot Cdiscount Prologis</t>
  </si>
  <si>
    <t>BAT 6 Parc Chanteloup</t>
  </si>
  <si>
    <t>MOISSY</t>
  </si>
  <si>
    <t>CRAMAYEL</t>
  </si>
  <si>
    <t>CD-77550-REAU</t>
  </si>
  <si>
    <t>CD-FR2</t>
  </si>
  <si>
    <t>Entrepot Cdiscount BAT A</t>
  </si>
  <si>
    <t>Zone du Parc de l A5</t>
  </si>
  <si>
    <t>REAU</t>
  </si>
  <si>
    <t>GC-95500-FR</t>
  </si>
  <si>
    <t>GC-3</t>
  </si>
  <si>
    <t>C/O 3 Avenue DU XXIème Siècle</t>
  </si>
  <si>
    <t>Gonesse</t>
  </si>
  <si>
    <t>Val-d'Oise</t>
  </si>
  <si>
    <t>GC-60440-FR</t>
  </si>
  <si>
    <t>GC-4</t>
  </si>
  <si>
    <t>C/O 7 rue de la Demi-lune</t>
  </si>
  <si>
    <t>Nanteuil-le-Haudouin</t>
  </si>
  <si>
    <t>4PX-19171-ES</t>
  </si>
  <si>
    <t>4PX-5</t>
  </si>
  <si>
    <t>Av. la Veguilla s/n, Nave G</t>
  </si>
  <si>
    <t>Cabanillas del Campo</t>
  </si>
  <si>
    <t>4PX-66-340-PL</t>
  </si>
  <si>
    <t>4PX-6</t>
  </si>
  <si>
    <t>4PX-66340</t>
  </si>
  <si>
    <t>4PX-66340-PL</t>
  </si>
  <si>
    <t>Nowa Niedrzwica 58，Gate 41-42</t>
  </si>
  <si>
    <t>Rokitno</t>
  </si>
  <si>
    <t>4PX-66-340-PL-1</t>
  </si>
  <si>
    <t>4PX-7</t>
  </si>
  <si>
    <t>4PX(66340)</t>
  </si>
  <si>
    <t>4PX-66340-PL-1</t>
  </si>
  <si>
    <t>Gate 10A-14A（Hillwood Rokitno）</t>
  </si>
  <si>
    <t>4PX-66-340-PL-2</t>
  </si>
  <si>
    <t>4PX-9</t>
  </si>
  <si>
    <t>Gate D,66-340</t>
  </si>
  <si>
    <t>PL-69-100</t>
  </si>
  <si>
    <t>OWP</t>
  </si>
  <si>
    <t>PL-69100</t>
  </si>
  <si>
    <t>000366</t>
  </si>
  <si>
    <t xml:space="preserve">Przemyslowe 7，gate 1-4 </t>
  </si>
  <si>
    <t>Slubice</t>
  </si>
  <si>
    <t>PL-69-100-L</t>
  </si>
  <si>
    <t>OWP-L</t>
  </si>
  <si>
    <t>PL-69100-L</t>
  </si>
  <si>
    <t>Lepower</t>
  </si>
  <si>
    <t>os. Przemyslowe 7 Brama 5</t>
  </si>
  <si>
    <t>PL-69-100-P</t>
  </si>
  <si>
    <t>OWP-P</t>
  </si>
  <si>
    <t>PL-69100-P</t>
  </si>
  <si>
    <t>Proscenic</t>
  </si>
  <si>
    <t>ul. Transportowa 11</t>
  </si>
  <si>
    <t>SLUBICE</t>
  </si>
  <si>
    <t>PL-69-100-MW</t>
  </si>
  <si>
    <t>OWP-MW</t>
  </si>
  <si>
    <t>PL-69100-MW</t>
  </si>
  <si>
    <t>MW</t>
  </si>
  <si>
    <t>Ul. Logistyczna 1</t>
  </si>
  <si>
    <t>Świecko</t>
  </si>
  <si>
    <t>PL-69-100-MBB</t>
  </si>
  <si>
    <t>OWP-MBB</t>
  </si>
  <si>
    <t>PL-69100-MBB</t>
  </si>
  <si>
    <t>MBB</t>
  </si>
  <si>
    <t>Os.Przemyslowe9</t>
  </si>
  <si>
    <t>PL-69-100-D</t>
  </si>
  <si>
    <t>OWP-D</t>
  </si>
  <si>
    <t>PL-69100-D</t>
  </si>
  <si>
    <t>Dianou Fulfilnent</t>
  </si>
  <si>
    <t xml:space="preserve">Swiecko 43B </t>
  </si>
  <si>
    <t>Swiecko</t>
  </si>
  <si>
    <t xml:space="preserve">PL-69-100-STW </t>
  </si>
  <si>
    <t xml:space="preserve">OWP-STW </t>
  </si>
  <si>
    <t xml:space="preserve">PL-69100-STW </t>
  </si>
  <si>
    <t xml:space="preserve">STW </t>
  </si>
  <si>
    <t>osiedle Przemysłowe 5</t>
  </si>
  <si>
    <t>Sł-bice</t>
  </si>
  <si>
    <t>PL-69-100-PT</t>
  </si>
  <si>
    <t>OWP-PT</t>
  </si>
  <si>
    <t>PL-69100-PT</t>
  </si>
  <si>
    <t>Parceljet Technology GmbH</t>
  </si>
  <si>
    <t>os. Przemyslowe 5 Brama/Gate 9-18</t>
  </si>
  <si>
    <t>XDU5</t>
  </si>
  <si>
    <t>Steinmühle 1 Logistikpark</t>
  </si>
  <si>
    <t>Diemelstadt</t>
  </si>
  <si>
    <t>XPLC-PL</t>
  </si>
  <si>
    <t>XPLC-1</t>
  </si>
  <si>
    <t>XPLC - ID Logistics Polska 3PL</t>
  </si>
  <si>
    <t>ul. Slowianska ID Logistics</t>
  </si>
  <si>
    <t>Zgorzelec</t>
  </si>
  <si>
    <t>Lower Silesian</t>
  </si>
  <si>
    <t>59-900</t>
  </si>
  <si>
    <t>XCD2</t>
  </si>
  <si>
    <t>AFTX 3P IXD (Denain, FR)</t>
  </si>
  <si>
    <t>Parc dActivites des</t>
  </si>
  <si>
    <t>Pierres Blanches</t>
  </si>
  <si>
    <t>Denain</t>
  </si>
  <si>
    <t>STR2</t>
  </si>
  <si>
    <t>Oggenhauser Hauptstrasse 151</t>
  </si>
  <si>
    <t>XFR9</t>
  </si>
  <si>
    <t>XFR9 - AFTX 3P (Lich, DE)</t>
  </si>
  <si>
    <t>Hungener Str. 66</t>
  </si>
  <si>
    <t>Lich</t>
  </si>
  <si>
    <t>SNN5</t>
  </si>
  <si>
    <t>Amazon- SNN5</t>
  </si>
  <si>
    <t>Unit E, Baldonnell Business Park</t>
  </si>
  <si>
    <t>Baldonnell</t>
  </si>
  <si>
    <t>Dublin</t>
  </si>
  <si>
    <t>IE</t>
  </si>
  <si>
    <t>D22 V5R3</t>
  </si>
  <si>
    <t>XFK1</t>
  </si>
  <si>
    <t>Goodyearstrasse 1</t>
  </si>
  <si>
    <t>Philippsburg</t>
  </si>
  <si>
    <t>BGY1-8</t>
  </si>
  <si>
    <t>BGY1-2</t>
  </si>
  <si>
    <t>Via Primo Maggio 8</t>
  </si>
  <si>
    <t>POZ1-DE</t>
  </si>
  <si>
    <t>POZ1-02977</t>
  </si>
  <si>
    <t>POZ1 via: Slam Poland Sp. z o.o.</t>
  </si>
  <si>
    <t>XSE6</t>
  </si>
  <si>
    <t>Building S440 Panattoni Park</t>
  </si>
  <si>
    <t>Barge Way</t>
  </si>
  <si>
    <t>Sittingbourne</t>
  </si>
  <si>
    <t>South East England</t>
  </si>
  <si>
    <t>ME10 2XG</t>
  </si>
  <si>
    <t>4PX-66-340-PL-3</t>
  </si>
  <si>
    <t>4PX-PL</t>
  </si>
  <si>
    <t>Nowa Niedrzwica 58,Gate 10-14</t>
  </si>
  <si>
    <t>(Hillwood Rokitno),Rokitno</t>
  </si>
  <si>
    <t>Lubusz</t>
  </si>
  <si>
    <t>CDG8</t>
  </si>
  <si>
    <t>Amazon Services CDG8/ICD9</t>
  </si>
  <si>
    <t>1 Avenue Boule</t>
  </si>
  <si>
    <t>Beauchamp</t>
  </si>
  <si>
    <t>lle-de-France</t>
  </si>
  <si>
    <t>FCO8</t>
  </si>
  <si>
    <t>Amazon Services FCO8/IFC8</t>
  </si>
  <si>
    <t>Via della Mola Saracena</t>
  </si>
  <si>
    <t>4HVP+C5G</t>
  </si>
  <si>
    <t>Fiano Romano</t>
  </si>
  <si>
    <t>Lazio</t>
  </si>
  <si>
    <t>00065</t>
  </si>
  <si>
    <t>DE06</t>
  </si>
  <si>
    <t>004916097092782</t>
  </si>
  <si>
    <t>Zum Schleusenpark 7</t>
  </si>
  <si>
    <t>Datteln</t>
  </si>
  <si>
    <t>XCAB</t>
  </si>
  <si>
    <t>1882 118 Avenue NE</t>
  </si>
  <si>
    <t>T3K 0R1</t>
  </si>
  <si>
    <t>XAR1</t>
  </si>
  <si>
    <t>Varnvagen3</t>
  </si>
  <si>
    <t>ESKILSTUNA</t>
  </si>
  <si>
    <t>Sodermanlan</t>
  </si>
  <si>
    <t>SE</t>
  </si>
  <si>
    <t>XLDA</t>
  </si>
  <si>
    <t>Giesserstrasse 8</t>
  </si>
  <si>
    <t>Unna</t>
  </si>
  <si>
    <t>XYY3</t>
  </si>
  <si>
    <t xml:space="preserve">1530 Gamble Pl </t>
  </si>
  <si>
    <t>Winnipeg</t>
  </si>
  <si>
    <t>MB</t>
  </si>
  <si>
    <t>R3T 1N6</t>
  </si>
  <si>
    <t>NHE1</t>
  </si>
  <si>
    <t>NHE1 - Nexus FaaST (Raunheim, DE)</t>
  </si>
  <si>
    <t>Tiberstrabe 2</t>
  </si>
  <si>
    <t>Raunheim</t>
  </si>
  <si>
    <t>IEUB</t>
  </si>
  <si>
    <t>Konrad-Zuse-Street 1A</t>
  </si>
  <si>
    <t>Alsdorf</t>
  </si>
  <si>
    <t>IEUA</t>
  </si>
  <si>
    <t>IEUA- 3PAWDFC</t>
  </si>
  <si>
    <t>Gateway 4,Jackson Ln,Armthorpe</t>
  </si>
  <si>
    <t>South Yorkshire</t>
  </si>
  <si>
    <t>UXD3</t>
  </si>
  <si>
    <t>Amazon Uk services Ltd.</t>
  </si>
  <si>
    <t>Phase Two,Kingston Park</t>
  </si>
  <si>
    <t>Flaxley Road,Cambridge</t>
  </si>
  <si>
    <t>4PX-77230-FR-A</t>
  </si>
  <si>
    <t>Bat-A，5 Rue de la Fontaine des Bries</t>
  </si>
  <si>
    <t>Seine-et-Marne</t>
  </si>
  <si>
    <t>YDD4</t>
  </si>
  <si>
    <t>140 Old Mill Road</t>
  </si>
  <si>
    <t>Cambridge</t>
  </si>
  <si>
    <t>Ontario</t>
  </si>
  <si>
    <t>N3H 4R8</t>
  </si>
  <si>
    <t>GCSS G11095</t>
  </si>
  <si>
    <t>GCSS-G11095</t>
  </si>
  <si>
    <t>super smart service 358,Brooms Rd</t>
  </si>
  <si>
    <t>Stone</t>
  </si>
  <si>
    <t>ST15 0SH</t>
  </si>
  <si>
    <t>DUS-9</t>
  </si>
  <si>
    <t>GCSS G15217</t>
  </si>
  <si>
    <t>Ben-Cammarata-Straße 2</t>
  </si>
  <si>
    <t>Bergheim</t>
  </si>
  <si>
    <t>Nordrhein Westfalen</t>
  </si>
  <si>
    <t>EMA5</t>
  </si>
  <si>
    <t>Unit 3, Symmetry Way</t>
  </si>
  <si>
    <t>KETTERING</t>
  </si>
  <si>
    <t>NN14 1FQ</t>
  </si>
  <si>
    <t>XGER</t>
  </si>
  <si>
    <t>Brakenhof 20-24</t>
  </si>
  <si>
    <t>XCD7</t>
  </si>
  <si>
    <t>XCD7 - AFTX3P</t>
  </si>
  <si>
    <t>4 Rue Alfred Kasler,CEVALOGISTICS</t>
  </si>
  <si>
    <t>Mably</t>
  </si>
  <si>
    <t>站点</t>
  </si>
  <si>
    <t>深圳宝安站点</t>
  </si>
  <si>
    <t>义乌站点</t>
  </si>
  <si>
    <t>上海松江站点</t>
  </si>
  <si>
    <t>上海青浦站点</t>
  </si>
  <si>
    <t>泉州站点</t>
  </si>
  <si>
    <t>广州站点</t>
  </si>
  <si>
    <t>厦门站点</t>
  </si>
  <si>
    <t>中山站点</t>
  </si>
  <si>
    <t>福州站点</t>
  </si>
  <si>
    <t>青岛站点</t>
  </si>
  <si>
    <t>温州站点</t>
  </si>
  <si>
    <t>合肥站点</t>
  </si>
  <si>
    <t>南城站点</t>
  </si>
  <si>
    <t>宁波站点</t>
  </si>
  <si>
    <t>杭州站点</t>
  </si>
  <si>
    <t>汕头站点</t>
  </si>
  <si>
    <t>金义站点</t>
  </si>
  <si>
    <t>临沂站点</t>
  </si>
  <si>
    <t>郑州站点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</si>
</sst>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0.00_ "/>
  </numFmts>
  <fonts count="39">
    <font>
      <sz val="11"/>
      <color theme="1"/>
      <name val="宋体"/>
      <charset val="134"/>
      <scheme val="minor"/>
    </font>
    <font>
      <sz val="12"/>
      <color indexed="8"/>
      <name val="微软雅黑"/>
      <charset val="134"/>
    </font>
    <font>
      <b/>
      <sz val="12"/>
      <color indexed="8"/>
      <name val="微软雅黑"/>
      <charset val="134"/>
    </font>
    <font>
      <b/>
      <sz val="10"/>
      <color indexed="8"/>
      <name val="微软雅黑"/>
      <charset val="134"/>
    </font>
    <font>
      <sz val="10"/>
      <color indexed="8"/>
      <name val="微软雅黑"/>
      <charset val="134"/>
    </font>
    <font>
      <sz val="9"/>
      <color indexed="8"/>
      <name val="微软雅黑"/>
      <charset val="134"/>
    </font>
    <font>
      <sz val="10"/>
      <name val="微软雅黑"/>
      <charset val="134"/>
    </font>
    <font>
      <sz val="10"/>
      <color rgb="FFFF0000"/>
      <name val="微软雅黑"/>
      <charset val="134"/>
    </font>
    <font>
      <b/>
      <sz val="10"/>
      <color rgb="FFFF0000"/>
      <name val="微软雅黑"/>
      <charset val="134"/>
    </font>
    <font>
      <b/>
      <sz val="10"/>
      <color theme="1"/>
      <name val="微软雅黑"/>
      <charset val="134"/>
    </font>
    <font>
      <sz val="10"/>
      <color theme="1"/>
      <name val="微软雅黑"/>
      <charset val="134"/>
    </font>
    <font>
      <sz val="10"/>
      <color rgb="FF000000"/>
      <name val="微软雅黑"/>
      <charset val="134"/>
    </font>
    <font>
      <sz val="12"/>
      <color rgb="FF000000"/>
      <name val="Helvetica"/>
      <charset val="134"/>
    </font>
    <font>
      <sz val="9"/>
      <color rgb="FF000000"/>
      <name val="微软雅黑"/>
      <charset val="134"/>
    </font>
    <font>
      <b/>
      <sz val="12"/>
      <name val="微软雅黑"/>
      <charset val="134"/>
    </font>
    <font>
      <sz val="12"/>
      <color theme="1"/>
      <name val="微软雅黑"/>
      <charset val="134"/>
    </font>
    <font>
      <sz val="11"/>
      <color theme="1"/>
      <name val="微软雅黑"/>
      <charset val="134"/>
    </font>
    <font>
      <sz val="10"/>
      <color indexed="11"/>
      <name val="微软雅黑"/>
      <charset val="134"/>
    </font>
    <font>
      <sz val="10"/>
      <color rgb="FF777777"/>
      <name val="微软雅黑"/>
      <charset val="134"/>
    </font>
    <font>
      <sz val="10"/>
      <color rgb="FF0F1111"/>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8"/>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4"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5" borderId="12" applyNumberFormat="0" applyAlignment="0" applyProtection="0">
      <alignment vertical="center"/>
    </xf>
    <xf numFmtId="0" fontId="29" fillId="6" borderId="13" applyNumberFormat="0" applyAlignment="0" applyProtection="0">
      <alignment vertical="center"/>
    </xf>
    <xf numFmtId="0" fontId="30" fillId="6" borderId="12" applyNumberFormat="0" applyAlignment="0" applyProtection="0">
      <alignment vertical="center"/>
    </xf>
    <xf numFmtId="0" fontId="31" fillId="7"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0" fontId="5" fillId="0" borderId="0" applyFill="0" applyProtection="0"/>
  </cellStyleXfs>
  <cellXfs count="96">
    <xf numFmtId="0" fontId="0" fillId="0" borderId="0" xfId="0">
      <alignment vertical="center"/>
    </xf>
    <xf numFmtId="0" fontId="1" fillId="2" borderId="0" xfId="0" applyFont="1" applyFill="1" applyBorder="1" applyAlignment="1" applyProtection="1"/>
    <xf numFmtId="0" fontId="2" fillId="2" borderId="1" xfId="0" applyFont="1" applyFill="1" applyBorder="1" applyAlignment="1" applyProtection="1"/>
    <xf numFmtId="0" fontId="1" fillId="2" borderId="2" xfId="0" applyFont="1" applyFill="1" applyBorder="1" applyAlignment="1" applyProtection="1"/>
    <xf numFmtId="0" fontId="1" fillId="2" borderId="3" xfId="0" applyFont="1" applyFill="1" applyBorder="1" applyAlignment="1" applyProtection="1"/>
    <xf numFmtId="0" fontId="1" fillId="2" borderId="4" xfId="0" applyFont="1" applyFill="1" applyBorder="1" applyAlignment="1" applyProtection="1"/>
    <xf numFmtId="0" fontId="3" fillId="0" borderId="0" xfId="0" applyFont="1" applyFill="1" applyBorder="1" applyAlignment="1" applyProtection="1">
      <alignment horizontal="left" vertical="center"/>
    </xf>
    <xf numFmtId="0" fontId="4" fillId="0" borderId="0" xfId="0" applyFont="1" applyFill="1" applyBorder="1" applyAlignment="1" applyProtection="1">
      <alignment horizontal="left"/>
    </xf>
    <xf numFmtId="0" fontId="5" fillId="0" borderId="0" xfId="0" applyFont="1" applyFill="1" applyBorder="1" applyAlignment="1" applyProtection="1">
      <alignment horizontal="left"/>
    </xf>
    <xf numFmtId="0" fontId="4" fillId="3" borderId="0" xfId="0" applyFont="1" applyFill="1" applyBorder="1" applyAlignment="1" applyProtection="1">
      <alignment horizontal="left"/>
    </xf>
    <xf numFmtId="0" fontId="6" fillId="0" borderId="0" xfId="0" applyFont="1" applyFill="1" applyBorder="1" applyAlignment="1" applyProtection="1">
      <alignment horizontal="left"/>
    </xf>
    <xf numFmtId="0" fontId="7" fillId="0" borderId="0" xfId="0" applyFont="1" applyFill="1" applyBorder="1" applyAlignment="1" applyProtection="1">
      <alignment horizontal="left"/>
    </xf>
    <xf numFmtId="0" fontId="8" fillId="0" borderId="0" xfId="49" applyFont="1" applyFill="1" applyBorder="1" applyAlignment="1" applyProtection="1">
      <alignment horizontal="left" vertical="center"/>
    </xf>
    <xf numFmtId="0" fontId="9" fillId="0" borderId="0" xfId="49" applyFont="1" applyFill="1" applyBorder="1" applyAlignment="1" applyProtection="1">
      <alignment horizontal="left" vertical="center"/>
    </xf>
    <xf numFmtId="0" fontId="9" fillId="0" borderId="0" xfId="49" applyFont="1" applyFill="1" applyBorder="1" applyAlignment="1" applyProtection="1">
      <alignment horizontal="left" vertical="center" wrapText="1"/>
    </xf>
    <xf numFmtId="0" fontId="7" fillId="0" borderId="0" xfId="0" applyFont="1" applyFill="1" applyBorder="1" applyAlignment="1" applyProtection="1">
      <alignment horizontal="left" vertical="center"/>
    </xf>
    <xf numFmtId="0" fontId="10" fillId="0" borderId="0" xfId="0" applyFont="1" applyFill="1" applyBorder="1" applyAlignment="1" applyProtection="1">
      <alignment horizontal="left" vertical="center"/>
    </xf>
    <xf numFmtId="0" fontId="7" fillId="3" borderId="0" xfId="0" applyFont="1" applyFill="1" applyBorder="1" applyAlignment="1" applyProtection="1">
      <alignment horizontal="left"/>
    </xf>
    <xf numFmtId="0" fontId="7" fillId="3" borderId="0" xfId="0" applyFont="1" applyFill="1" applyBorder="1" applyAlignment="1" applyProtection="1">
      <alignment horizontal="left" vertical="center" wrapText="1"/>
    </xf>
    <xf numFmtId="0" fontId="11" fillId="3" borderId="0" xfId="0" applyFont="1" applyFill="1" applyBorder="1" applyAlignment="1" applyProtection="1">
      <alignment horizontal="left" vertical="center" wrapText="1"/>
    </xf>
    <xf numFmtId="0" fontId="10" fillId="3" borderId="0" xfId="0" applyFont="1" applyFill="1" applyBorder="1" applyAlignment="1" applyProtection="1">
      <alignment horizontal="left"/>
    </xf>
    <xf numFmtId="0" fontId="7" fillId="0" borderId="0" xfId="0" applyFont="1" applyFill="1" applyBorder="1" applyAlignment="1" applyProtection="1">
      <alignment horizontal="left" vertical="center" wrapText="1"/>
    </xf>
    <xf numFmtId="0" fontId="11" fillId="0" borderId="0" xfId="0" applyFont="1" applyFill="1" applyBorder="1" applyAlignment="1" applyProtection="1">
      <alignment horizontal="left" vertical="center" wrapText="1"/>
    </xf>
    <xf numFmtId="0" fontId="10" fillId="0" borderId="0" xfId="0" applyFont="1" applyFill="1" applyBorder="1" applyAlignment="1" applyProtection="1">
      <alignment horizontal="left"/>
    </xf>
    <xf numFmtId="0" fontId="10" fillId="0" borderId="0" xfId="0" applyFont="1" applyFill="1" applyBorder="1" applyAlignment="1" applyProtection="1">
      <alignment horizontal="left" vertical="center" wrapText="1"/>
    </xf>
    <xf numFmtId="0" fontId="6" fillId="0" borderId="0" xfId="0" applyFont="1" applyFill="1" applyBorder="1" applyAlignment="1" applyProtection="1">
      <alignment horizontal="left" vertical="center" wrapText="1"/>
    </xf>
    <xf numFmtId="0" fontId="6" fillId="0" borderId="0" xfId="0" applyFont="1" applyFill="1" applyBorder="1" applyAlignment="1" applyProtection="1">
      <alignment horizontal="left" vertical="center"/>
    </xf>
    <xf numFmtId="0" fontId="12" fillId="0" borderId="0" xfId="0" applyFont="1" applyFill="1" applyAlignment="1">
      <alignment horizontal="left" vertical="center"/>
    </xf>
    <xf numFmtId="0" fontId="10" fillId="0" borderId="0" xfId="0" applyFont="1" applyFill="1" applyBorder="1" applyAlignment="1" applyProtection="1">
      <alignment horizontal="left" vertical="center"/>
      <protection locked="0"/>
    </xf>
    <xf numFmtId="0" fontId="13" fillId="0" borderId="0" xfId="0" applyFont="1" applyFill="1" applyBorder="1" applyAlignment="1" applyProtection="1">
      <alignment horizontal="left"/>
    </xf>
    <xf numFmtId="0" fontId="4" fillId="0" borderId="0" xfId="0" applyFont="1" applyFill="1" applyBorder="1" applyAlignment="1" applyProtection="1">
      <alignment horizontal="left" wrapText="1"/>
    </xf>
    <xf numFmtId="0" fontId="7" fillId="0" borderId="0" xfId="0" applyFont="1" applyFill="1" applyBorder="1" applyAlignment="1" applyProtection="1">
      <alignment horizontal="left" wrapText="1"/>
    </xf>
    <xf numFmtId="0" fontId="4" fillId="0" borderId="0" xfId="0" applyFont="1" applyFill="1" applyBorder="1" applyAlignment="1" applyProtection="1">
      <alignment horizontal="left"/>
      <protection locked="0"/>
    </xf>
    <xf numFmtId="0" fontId="4" fillId="0" borderId="0" xfId="0" applyFont="1" applyFill="1" applyBorder="1" applyAlignment="1" applyProtection="1"/>
    <xf numFmtId="0" fontId="4" fillId="0" borderId="0" xfId="0" applyFont="1" applyFill="1" applyBorder="1" applyAlignment="1" applyProtection="1">
      <alignment horizontal="center"/>
    </xf>
    <xf numFmtId="0" fontId="1" fillId="2" borderId="0" xfId="0" applyFont="1" applyFill="1" applyBorder="1" applyAlignment="1" applyProtection="1">
      <alignment horizontal="left"/>
    </xf>
    <xf numFmtId="176" fontId="14" fillId="2" borderId="1" xfId="0" applyNumberFormat="1" applyFont="1" applyFill="1" applyBorder="1" applyAlignment="1" applyProtection="1">
      <alignment horizontal="center" vertical="center"/>
    </xf>
    <xf numFmtId="176" fontId="14" fillId="2" borderId="1" xfId="0" applyNumberFormat="1" applyFont="1" applyFill="1" applyBorder="1" applyAlignment="1" applyProtection="1">
      <alignment horizontal="left" vertical="center"/>
    </xf>
    <xf numFmtId="176" fontId="15" fillId="2" borderId="5" xfId="0" applyNumberFormat="1" applyFont="1" applyFill="1" applyBorder="1" applyAlignment="1" applyProtection="1">
      <alignment horizontal="center" vertical="center" wrapText="1"/>
    </xf>
    <xf numFmtId="176" fontId="15" fillId="2" borderId="1" xfId="0" applyNumberFormat="1" applyFont="1" applyFill="1" applyBorder="1" applyAlignment="1" applyProtection="1">
      <alignment horizontal="left" vertical="center" wrapText="1"/>
    </xf>
    <xf numFmtId="176" fontId="15" fillId="2" borderId="6" xfId="0" applyNumberFormat="1" applyFont="1" applyFill="1" applyBorder="1" applyAlignment="1" applyProtection="1">
      <alignment horizontal="center" vertical="center" wrapText="1"/>
    </xf>
    <xf numFmtId="176" fontId="15" fillId="2" borderId="6" xfId="0" applyNumberFormat="1" applyFont="1" applyFill="1" applyBorder="1" applyAlignment="1" applyProtection="1">
      <alignment horizontal="left" vertical="center" wrapText="1"/>
    </xf>
    <xf numFmtId="176" fontId="15" fillId="2" borderId="1" xfId="0" applyNumberFormat="1" applyFont="1" applyFill="1" applyBorder="1" applyAlignment="1" applyProtection="1">
      <alignment horizontal="left" vertical="center"/>
    </xf>
    <xf numFmtId="176" fontId="15" fillId="3" borderId="1" xfId="0" applyNumberFormat="1" applyFont="1" applyFill="1" applyBorder="1" applyAlignment="1" applyProtection="1">
      <alignment horizontal="left" vertical="center"/>
    </xf>
    <xf numFmtId="176" fontId="15" fillId="2" borderId="5" xfId="0" applyNumberFormat="1" applyFont="1" applyFill="1" applyBorder="1" applyAlignment="1" applyProtection="1">
      <alignment horizontal="center" vertical="center"/>
    </xf>
    <xf numFmtId="176" fontId="15" fillId="2" borderId="6" xfId="0" applyNumberFormat="1" applyFont="1" applyFill="1" applyBorder="1" applyAlignment="1" applyProtection="1">
      <alignment horizontal="center" vertical="center"/>
    </xf>
    <xf numFmtId="176" fontId="15" fillId="2" borderId="5" xfId="0" applyNumberFormat="1" applyFont="1" applyFill="1" applyBorder="1" applyAlignment="1" applyProtection="1">
      <alignment horizontal="left" vertical="center" wrapText="1"/>
    </xf>
    <xf numFmtId="176" fontId="15" fillId="3" borderId="5" xfId="0" applyNumberFormat="1" applyFont="1" applyFill="1" applyBorder="1" applyAlignment="1" applyProtection="1">
      <alignment horizontal="left" vertical="center" wrapText="1"/>
    </xf>
    <xf numFmtId="176" fontId="15" fillId="2" borderId="7" xfId="0" applyNumberFormat="1" applyFont="1" applyFill="1" applyBorder="1" applyAlignment="1" applyProtection="1">
      <alignment horizontal="center" vertical="center"/>
    </xf>
    <xf numFmtId="176" fontId="15" fillId="2" borderId="8" xfId="0" applyNumberFormat="1" applyFont="1" applyFill="1" applyBorder="1" applyAlignment="1" applyProtection="1">
      <alignment horizontal="center" vertical="center"/>
    </xf>
    <xf numFmtId="176" fontId="15" fillId="2" borderId="1" xfId="0" applyNumberFormat="1" applyFont="1" applyFill="1" applyBorder="1" applyAlignment="1" applyProtection="1">
      <alignment horizontal="center" vertical="center"/>
    </xf>
    <xf numFmtId="176" fontId="15" fillId="2" borderId="8" xfId="0" applyNumberFormat="1" applyFont="1" applyFill="1" applyBorder="1" applyAlignment="1" applyProtection="1">
      <alignment horizontal="left" vertical="center" wrapText="1"/>
    </xf>
    <xf numFmtId="0" fontId="15" fillId="2" borderId="8" xfId="0" applyNumberFormat="1" applyFont="1" applyFill="1" applyBorder="1" applyAlignment="1" applyProtection="1">
      <alignment horizontal="left" vertical="center" wrapText="1"/>
    </xf>
    <xf numFmtId="0" fontId="16" fillId="0" borderId="1" xfId="0" applyFont="1" applyBorder="1">
      <alignment vertical="center"/>
    </xf>
    <xf numFmtId="176" fontId="15" fillId="2" borderId="8" xfId="0" applyNumberFormat="1" applyFont="1" applyFill="1" applyBorder="1" applyAlignment="1" applyProtection="1">
      <alignment horizontal="center" vertical="center" wrapText="1"/>
    </xf>
    <xf numFmtId="176" fontId="15" fillId="2" borderId="1"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pplyProtection="1">
      <alignment horizontal="left" vertical="center"/>
    </xf>
    <xf numFmtId="0" fontId="6" fillId="2" borderId="1" xfId="0" applyFont="1" applyFill="1" applyBorder="1" applyAlignment="1" applyProtection="1">
      <alignment horizontal="center" vertical="center" wrapText="1"/>
    </xf>
    <xf numFmtId="0" fontId="6" fillId="0" borderId="1" xfId="0" applyFont="1" applyFill="1" applyBorder="1" applyAlignment="1" applyProtection="1">
      <alignment horizontal="left" vertical="center"/>
    </xf>
    <xf numFmtId="0" fontId="10" fillId="2" borderId="1" xfId="0" applyFont="1" applyFill="1" applyBorder="1" applyAlignment="1" applyProtection="1">
      <alignment horizontal="left" vertical="center"/>
    </xf>
    <xf numFmtId="0" fontId="7" fillId="2" borderId="1" xfId="0" applyFont="1" applyFill="1" applyBorder="1" applyAlignment="1" applyProtection="1">
      <alignment horizontal="left" vertical="center"/>
    </xf>
    <xf numFmtId="0" fontId="7" fillId="0" borderId="1" xfId="0" applyFont="1" applyFill="1" applyBorder="1" applyAlignment="1" applyProtection="1">
      <alignment horizontal="left" vertical="center"/>
    </xf>
    <xf numFmtId="0" fontId="6" fillId="2" borderId="6" xfId="0" applyFont="1" applyFill="1" applyBorder="1" applyAlignment="1" applyProtection="1">
      <alignment horizontal="center" vertical="center" wrapText="1"/>
    </xf>
    <xf numFmtId="0" fontId="10" fillId="0" borderId="1" xfId="0" applyFont="1" applyFill="1" applyBorder="1" applyAlignment="1" applyProtection="1">
      <alignment horizontal="left" vertical="center"/>
    </xf>
    <xf numFmtId="0" fontId="6" fillId="0" borderId="5" xfId="0" applyFont="1" applyFill="1" applyBorder="1" applyAlignment="1" applyProtection="1">
      <alignment horizontal="center" vertical="center"/>
    </xf>
    <xf numFmtId="0" fontId="6" fillId="0" borderId="6" xfId="0" applyFont="1" applyFill="1" applyBorder="1" applyAlignment="1" applyProtection="1">
      <alignment horizontal="center" vertical="center"/>
    </xf>
    <xf numFmtId="0" fontId="6" fillId="0" borderId="8" xfId="0" applyFont="1" applyFill="1" applyBorder="1" applyAlignment="1" applyProtection="1">
      <alignment horizontal="center" vertical="center"/>
    </xf>
    <xf numFmtId="0" fontId="6" fillId="0" borderId="1" xfId="0" applyFont="1" applyFill="1" applyBorder="1" applyAlignment="1" applyProtection="1">
      <alignment horizontal="center" vertical="center"/>
    </xf>
    <xf numFmtId="0" fontId="4" fillId="0" borderId="0" xfId="0" applyFont="1" applyFill="1" applyBorder="1" applyAlignment="1" applyProtection="1">
      <protection hidden="1"/>
    </xf>
    <xf numFmtId="0" fontId="4" fillId="0" borderId="0" xfId="0" applyFont="1" applyFill="1" applyBorder="1" applyAlignment="1" applyProtection="1">
      <alignment vertical="center"/>
    </xf>
    <xf numFmtId="49" fontId="4" fillId="0" borderId="0" xfId="0" applyNumberFormat="1" applyFont="1" applyFill="1" applyBorder="1" applyAlignment="1" applyProtection="1"/>
    <xf numFmtId="49" fontId="7" fillId="0" borderId="0" xfId="0" applyNumberFormat="1" applyFont="1" applyFill="1" applyBorder="1" applyAlignment="1" applyProtection="1"/>
    <xf numFmtId="0" fontId="10" fillId="0" borderId="0" xfId="0" applyFont="1" applyFill="1" applyBorder="1" applyAlignment="1" applyProtection="1">
      <alignment horizontal="center" vertical="center"/>
    </xf>
    <xf numFmtId="0" fontId="8" fillId="0" borderId="0" xfId="0" applyFont="1" applyFill="1" applyBorder="1" applyAlignment="1" applyProtection="1">
      <alignment horizontal="left" vertical="center"/>
    </xf>
    <xf numFmtId="0" fontId="7" fillId="0" borderId="0" xfId="0" applyFont="1" applyFill="1" applyBorder="1" applyAlignment="1" applyProtection="1">
      <alignment horizontal="left" vertical="top" wrapText="1"/>
    </xf>
    <xf numFmtId="0" fontId="17" fillId="0" borderId="0" xfId="0" applyFont="1" applyFill="1" applyBorder="1" applyAlignment="1" applyProtection="1">
      <alignment vertical="top"/>
    </xf>
    <xf numFmtId="49" fontId="6" fillId="0" borderId="0" xfId="0" applyNumberFormat="1" applyFont="1" applyFill="1" applyBorder="1" applyAlignment="1" applyProtection="1">
      <alignment horizontal="left"/>
    </xf>
    <xf numFmtId="49" fontId="7" fillId="0" borderId="0" xfId="0" applyNumberFormat="1" applyFont="1" applyFill="1" applyBorder="1" applyAlignment="1" applyProtection="1">
      <protection hidden="1"/>
    </xf>
    <xf numFmtId="177" fontId="4" fillId="0" borderId="0" xfId="0" applyNumberFormat="1" applyFont="1" applyFill="1" applyBorder="1" applyAlignment="1" applyProtection="1"/>
    <xf numFmtId="0" fontId="7" fillId="0" borderId="0" xfId="0" applyFont="1" applyFill="1" applyBorder="1" applyAlignment="1" applyProtection="1">
      <alignment vertical="top" wrapText="1"/>
      <protection hidden="1"/>
    </xf>
    <xf numFmtId="0" fontId="7" fillId="0" borderId="0" xfId="0" applyFont="1" applyFill="1" applyBorder="1" applyAlignment="1" applyProtection="1">
      <alignment horizontal="left" vertical="top" wrapText="1"/>
      <protection hidden="1"/>
    </xf>
    <xf numFmtId="0" fontId="17" fillId="0" borderId="0" xfId="0" applyFont="1" applyFill="1" applyBorder="1" applyAlignment="1" applyProtection="1">
      <alignment vertical="top"/>
      <protection hidden="1"/>
    </xf>
    <xf numFmtId="49" fontId="4" fillId="0" borderId="0" xfId="0" applyNumberFormat="1" applyFont="1" applyFill="1" applyBorder="1" applyAlignment="1" applyProtection="1">
      <protection hidden="1"/>
    </xf>
    <xf numFmtId="0" fontId="6" fillId="0" borderId="0" xfId="0" applyNumberFormat="1" applyFont="1" applyFill="1" applyBorder="1" applyAlignment="1" applyProtection="1">
      <alignment vertical="center" wrapText="1"/>
      <protection hidden="1"/>
    </xf>
    <xf numFmtId="49" fontId="8" fillId="0" borderId="0" xfId="0" applyNumberFormat="1" applyFont="1" applyFill="1" applyBorder="1" applyAlignment="1" applyProtection="1">
      <alignment vertical="center"/>
    </xf>
    <xf numFmtId="0" fontId="4" fillId="0" borderId="0" xfId="0" applyFont="1" applyFill="1" applyBorder="1" applyAlignment="1" applyProtection="1">
      <alignment wrapText="1"/>
    </xf>
    <xf numFmtId="49" fontId="8" fillId="0" borderId="0" xfId="0" applyNumberFormat="1" applyFont="1" applyFill="1" applyBorder="1" applyAlignment="1" applyProtection="1"/>
    <xf numFmtId="0" fontId="18" fillId="0" borderId="0" xfId="0" applyFont="1" applyFill="1" applyBorder="1" applyAlignment="1"/>
    <xf numFmtId="0" fontId="8" fillId="0" borderId="0" xfId="0" applyFont="1" applyFill="1" applyBorder="1" applyAlignment="1" applyProtection="1"/>
    <xf numFmtId="0" fontId="7" fillId="0" borderId="0" xfId="0" applyFont="1" applyFill="1" applyBorder="1" applyAlignment="1" applyProtection="1"/>
    <xf numFmtId="49" fontId="7" fillId="0" borderId="0" xfId="0" applyNumberFormat="1" applyFont="1" applyFill="1" applyBorder="1" applyAlignment="1" applyProtection="1">
      <alignment horizontal="center" vertical="center"/>
    </xf>
    <xf numFmtId="0" fontId="7" fillId="0" borderId="0" xfId="0" applyFont="1" applyFill="1" applyBorder="1" applyAlignment="1" applyProtection="1">
      <alignment horizontal="center" vertical="center"/>
    </xf>
    <xf numFmtId="0" fontId="4" fillId="0" borderId="0" xfId="0" applyFont="1" applyFill="1" applyBorder="1" applyAlignment="1" applyProtection="1">
      <alignment horizontal="center" vertical="center"/>
    </xf>
    <xf numFmtId="0" fontId="7" fillId="0" borderId="0" xfId="0" applyFont="1" applyFill="1" applyBorder="1" applyAlignment="1" applyProtection="1">
      <alignment vertical="center"/>
    </xf>
    <xf numFmtId="0" fontId="19" fillId="0" borderId="0" xfId="0" applyFont="1" applyFill="1" applyBorder="1" applyAlignment="1" applyProtection="1">
      <alignment vertical="center" wrapText="1"/>
    </xf>
    <xf numFmtId="0" fontId="4" fillId="0" borderId="0" xfId="0" applyFont="1" applyFill="1" applyBorder="1" applyAlignment="1" applyProtection="1" quotePrefix="1"/>
    <xf numFmtId="0" fontId="4" fillId="0" borderId="0" xfId="0" applyFont="1" applyFill="1" applyBorder="1" applyAlignment="1" applyProtection="1" quotePrefix="1">
      <alignment horizontal="left"/>
    </xf>
    <xf numFmtId="0" fontId="11" fillId="0" borderId="0" xfId="0" applyFont="1" applyFill="1" applyBorder="1" applyAlignment="1" applyProtection="1" quotePrefix="1">
      <alignment horizontal="left" vertical="center" wrapText="1"/>
    </xf>
    <xf numFmtId="0" fontId="6" fillId="0" borderId="0" xfId="0" applyFont="1" applyFill="1" applyBorder="1" applyAlignment="1" applyProtection="1" quotePrefix="1">
      <alignment horizontal="left" vertical="center" wrapText="1"/>
    </xf>
    <xf numFmtId="0" fontId="10" fillId="0" borderId="0" xfId="0" applyFont="1" applyFill="1" applyBorder="1" applyAlignment="1" applyProtection="1" quotePrefix="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Z26"/>
  <sheetViews>
    <sheetView tabSelected="1" zoomScaleSheetLayoutView="60" workbookViewId="0">
      <selection activeCell="B17" sqref="B17"/>
    </sheetView>
  </sheetViews>
  <sheetFormatPr defaultColWidth="9.63333333333333" defaultRowHeight="21" customHeight="1"/>
  <cols>
    <col min="1" max="1" width="24.8833333333333" style="71" customWidth="1"/>
    <col min="2" max="2" width="35" style="33" customWidth="1"/>
    <col min="3" max="3" width="18.25" style="33" customWidth="1"/>
    <col min="4" max="4" width="15.25" style="33" customWidth="1"/>
    <col min="5" max="5" width="13.6333333333333" style="33" customWidth="1"/>
    <col min="6" max="6" width="13.75" style="33" customWidth="1"/>
    <col min="7" max="7" width="11" style="33"/>
    <col min="8" max="8" width="19.75" style="33" customWidth="1"/>
    <col min="9" max="9" width="14.1333333333333" style="33" customWidth="1"/>
    <col min="10" max="10" width="18" style="33" customWidth="1"/>
    <col min="11" max="11" width="15.6166666666667" style="33" customWidth="1"/>
    <col min="12" max="12" width="12.5" style="33" customWidth="1"/>
    <col min="13" max="13" width="11.6333333333333" style="33"/>
    <col min="14" max="15" width="9.63333333333333" style="33"/>
    <col min="16" max="16" width="11.1333333333333" style="33" customWidth="1"/>
    <col min="17" max="17" width="10" style="33"/>
    <col min="18" max="18" width="10.5" style="33"/>
    <col min="19" max="19" width="11.3833333333333" style="33"/>
    <col min="20" max="20" width="10.8833333333333" style="33"/>
    <col min="21" max="21" width="9.63333333333333" style="33"/>
    <col min="22" max="22" width="10.75" style="33"/>
    <col min="23" max="16384" width="9.63333333333333" style="33"/>
  </cols>
  <sheetData>
    <row r="1" customHeight="1" spans="1:15">
      <c r="A1" s="72" t="s">
        <v>0</v>
      </c>
      <c r="B1" s="73" t="s">
        <v>1</v>
      </c>
      <c r="C1" s="74" t="s">
        <v>2</v>
      </c>
      <c r="E1" s="75" t="s">
        <v>3</v>
      </c>
      <c r="F1" s="75"/>
      <c r="G1" s="75"/>
      <c r="H1" s="75"/>
      <c r="I1" s="73"/>
      <c r="J1" s="76"/>
      <c r="K1" s="76"/>
      <c r="L1" s="76"/>
      <c r="M1" s="76"/>
      <c r="N1" s="76"/>
      <c r="O1" s="76"/>
    </row>
    <row r="2" customHeight="1" spans="1:15">
      <c r="A2" s="77" t="s">
        <v>4</v>
      </c>
      <c r="B2" s="15" t="s">
        <v>5</v>
      </c>
      <c r="C2" s="74"/>
      <c r="E2" s="75"/>
      <c r="F2" s="75"/>
      <c r="G2" s="75"/>
      <c r="H2" s="75"/>
      <c r="I2" s="73"/>
      <c r="J2" s="76"/>
      <c r="K2" s="76"/>
      <c r="L2" s="76"/>
      <c r="M2" s="76"/>
      <c r="N2" s="76"/>
      <c r="O2" s="76"/>
    </row>
    <row r="3" s="69" customFormat="1" customHeight="1" spans="1:15">
      <c r="A3" s="78" t="s">
        <v>6</v>
      </c>
      <c r="B3" s="79" t="str">
        <f>VLOOKUP(B2,地址库!A:D,4,0)</f>
        <v>Amazon</v>
      </c>
      <c r="D3" s="80"/>
      <c r="E3" s="81"/>
      <c r="F3" s="81"/>
      <c r="G3" s="81"/>
      <c r="H3" s="81"/>
      <c r="I3" s="82"/>
      <c r="J3" s="82"/>
      <c r="K3" s="82"/>
      <c r="L3" s="82"/>
      <c r="M3" s="82"/>
    </row>
    <row r="4" s="69" customFormat="1" customHeight="1" spans="1:15">
      <c r="A4" s="83" t="s">
        <v>7</v>
      </c>
      <c r="D4" s="80"/>
      <c r="E4" s="81"/>
      <c r="F4" s="81"/>
      <c r="G4" s="81"/>
      <c r="H4" s="81"/>
      <c r="I4" s="82"/>
      <c r="J4" s="82"/>
      <c r="K4" s="82"/>
      <c r="L4" s="82"/>
      <c r="M4" s="82"/>
    </row>
    <row r="5" s="69" customFormat="1" customHeight="1" spans="1:15">
      <c r="A5" s="78" t="s">
        <v>8</v>
      </c>
      <c r="B5" s="33" t="str">
        <f>VLOOKUP(B2,地址库!A:H,8,0)</f>
        <v>6635 106 AVE SE</v>
      </c>
      <c r="C5" s="84"/>
      <c r="D5" s="80"/>
      <c r="E5" s="81"/>
      <c r="F5" s="81"/>
      <c r="G5" s="81"/>
      <c r="H5" s="81"/>
      <c r="I5" s="82"/>
      <c r="J5" s="82"/>
      <c r="K5" s="82"/>
      <c r="L5" s="82"/>
      <c r="M5" s="82"/>
    </row>
    <row r="6" s="69" customFormat="1" customHeight="1" spans="1:15">
      <c r="A6" s="83" t="s">
        <v>9</v>
      </c>
      <c r="B6" s="33" t="str">
        <f>VLOOKUP(B2,地址库!A:I,9,0)</f>
        <v>.</v>
      </c>
      <c r="D6" s="80"/>
      <c r="E6" s="81"/>
      <c r="F6" s="81"/>
      <c r="G6" s="81"/>
      <c r="H6" s="81"/>
      <c r="I6" s="82"/>
      <c r="J6" s="82"/>
      <c r="K6" s="82"/>
      <c r="L6" s="82"/>
      <c r="M6" s="82"/>
    </row>
    <row r="7" s="69" customFormat="1" customHeight="1" spans="1:15">
      <c r="A7" s="83" t="s">
        <v>10</v>
      </c>
      <c r="D7" s="80"/>
      <c r="E7" s="81"/>
      <c r="F7" s="81"/>
      <c r="G7" s="81"/>
      <c r="H7" s="81"/>
      <c r="I7" s="82"/>
      <c r="J7" s="82"/>
      <c r="K7" s="82"/>
      <c r="L7" s="82"/>
      <c r="M7" s="82"/>
    </row>
    <row r="8" s="69" customFormat="1" customHeight="1" spans="1:15">
      <c r="A8" s="78" t="s">
        <v>11</v>
      </c>
      <c r="B8" s="33" t="str">
        <f>VLOOKUP(B2,地址库!A:K,11,0)</f>
        <v>CALGARY</v>
      </c>
      <c r="D8" s="80"/>
      <c r="E8" s="81"/>
      <c r="F8" s="81"/>
      <c r="G8" s="81"/>
      <c r="H8" s="81"/>
      <c r="I8" s="82"/>
      <c r="J8" s="82"/>
      <c r="K8" s="82"/>
      <c r="L8" s="82"/>
      <c r="M8" s="82"/>
    </row>
    <row r="9" s="69" customFormat="1" customHeight="1" spans="1:15">
      <c r="A9" s="83" t="s">
        <v>12</v>
      </c>
      <c r="D9" s="80"/>
      <c r="E9" s="81"/>
      <c r="F9" s="81"/>
      <c r="G9" s="81"/>
      <c r="H9" s="81"/>
      <c r="I9" s="82"/>
      <c r="J9" s="82"/>
      <c r="K9" s="82"/>
      <c r="L9" s="82"/>
      <c r="M9" s="82"/>
    </row>
    <row r="10" s="69" customFormat="1" customHeight="1" spans="1:15">
      <c r="A10" s="78" t="s">
        <v>13</v>
      </c>
      <c r="B10" s="33" t="str">
        <f>VLOOKUP(B2,地址库!A:N,14,0)</f>
        <v>T2C 5X1</v>
      </c>
      <c r="D10" s="80"/>
      <c r="E10" s="81"/>
      <c r="F10" s="81"/>
      <c r="G10" s="81"/>
      <c r="H10" s="81"/>
      <c r="I10" s="82"/>
      <c r="J10" s="82"/>
      <c r="K10" s="82"/>
      <c r="L10" s="82"/>
      <c r="M10" s="82"/>
    </row>
    <row r="11" s="69" customFormat="1" customHeight="1" spans="1:15">
      <c r="A11" s="78" t="s">
        <v>14</v>
      </c>
      <c r="B11" s="33" t="str">
        <f>VLOOKUP(B2,地址库!A:M,13,0)</f>
        <v>CA</v>
      </c>
      <c r="E11" s="81"/>
      <c r="F11" s="81"/>
      <c r="G11" s="81"/>
      <c r="H11" s="81"/>
    </row>
    <row r="12" customHeight="1" spans="1:15">
      <c r="A12" s="72" t="s">
        <v>15</v>
      </c>
      <c r="B12" s="96" t="str">
        <f>VLOOKUP(B2,地址库!A:F,6,0)</f>
        <v>00000000</v>
      </c>
      <c r="E12" s="75"/>
      <c r="F12" s="75"/>
      <c r="G12" s="75"/>
      <c r="H12" s="75"/>
    </row>
    <row r="13" customHeight="1" spans="1:15">
      <c r="A13" s="85" t="s">
        <v>16</v>
      </c>
      <c r="C13" s="86"/>
      <c r="E13" s="75"/>
      <c r="F13" s="75"/>
      <c r="G13" s="75"/>
      <c r="H13" s="75"/>
    </row>
    <row r="14" customHeight="1" spans="1:15">
      <c r="A14" s="72" t="s">
        <v>17</v>
      </c>
      <c r="B14" s="33" t="s">
        <v>18</v>
      </c>
      <c r="E14" s="75"/>
      <c r="F14" s="75"/>
      <c r="G14" s="75"/>
      <c r="H14" s="75"/>
    </row>
    <row r="15" customHeight="1" spans="1:15">
      <c r="A15" s="72" t="s">
        <v>19</v>
      </c>
      <c r="B15" s="34" t="s">
        <v>20</v>
      </c>
      <c r="C15" s="15"/>
      <c r="E15" s="75"/>
      <c r="F15" s="75"/>
      <c r="G15" s="75"/>
      <c r="H15" s="75"/>
      <c r="K15" s="33" t="s">
        <v>20</v>
      </c>
    </row>
    <row r="16" customHeight="1" spans="1:15">
      <c r="A16" s="72" t="s">
        <v>21</v>
      </c>
      <c r="B16" s="34" t="s">
        <v>22</v>
      </c>
      <c r="C16" s="15"/>
      <c r="D16" s="7"/>
      <c r="E16" s="7"/>
      <c r="F16" s="7"/>
      <c r="G16" s="7"/>
      <c r="H16" s="7"/>
      <c r="I16" s="7"/>
      <c r="J16" s="7"/>
      <c r="K16" s="33" t="s">
        <v>22</v>
      </c>
    </row>
    <row r="17" customHeight="1" spans="1:26">
      <c r="A17" s="87" t="s">
        <v>23</v>
      </c>
      <c r="B17" s="34" t="s">
        <v>24</v>
      </c>
      <c r="C17" s="74"/>
      <c r="D17" s="7"/>
      <c r="E17" s="7"/>
      <c r="F17" s="7"/>
      <c r="G17" s="7"/>
      <c r="H17" s="7"/>
      <c r="I17" s="7"/>
      <c r="J17" s="7"/>
      <c r="K17" s="33" t="s">
        <v>25</v>
      </c>
    </row>
    <row r="18" customHeight="1" spans="1:26">
      <c r="A18" s="72" t="s">
        <v>26</v>
      </c>
      <c r="B18" s="34"/>
      <c r="C18" s="15"/>
      <c r="D18" s="7"/>
      <c r="E18" s="7"/>
      <c r="F18" s="7"/>
      <c r="G18" s="7"/>
      <c r="H18" s="7"/>
      <c r="I18" s="7"/>
      <c r="J18" s="7"/>
      <c r="K18" s="33" t="s">
        <v>27</v>
      </c>
    </row>
    <row r="19" customHeight="1" spans="1:26">
      <c r="A19" s="72" t="s">
        <v>28</v>
      </c>
      <c r="B19" s="88"/>
      <c r="D19" s="7"/>
      <c r="E19" s="7"/>
      <c r="F19" s="7"/>
      <c r="G19" s="7"/>
      <c r="H19" s="7"/>
      <c r="I19" s="7"/>
      <c r="J19" s="7"/>
    </row>
    <row r="20" customHeight="1" spans="1:26">
      <c r="A20" s="72" t="s">
        <v>29</v>
      </c>
      <c r="B20" s="88"/>
      <c r="D20" s="7"/>
      <c r="E20" s="7"/>
      <c r="F20" s="7"/>
      <c r="G20" s="7"/>
      <c r="H20" s="7"/>
      <c r="I20" s="7"/>
      <c r="J20" s="7"/>
    </row>
    <row r="21" customHeight="1" spans="1:26">
      <c r="A21" s="72" t="s">
        <v>30</v>
      </c>
      <c r="B21" s="34" t="s">
        <v>31</v>
      </c>
      <c r="C21" s="15"/>
      <c r="D21" s="7"/>
      <c r="F21" s="7"/>
      <c r="G21" s="7"/>
      <c r="H21" s="7"/>
      <c r="I21" s="7"/>
      <c r="J21" s="7"/>
    </row>
    <row r="22" customHeight="1" spans="1:26">
      <c r="A22" s="72" t="s">
        <v>32</v>
      </c>
      <c r="B22" s="73" t="s">
        <v>33</v>
      </c>
      <c r="C22" s="15" t="s">
        <v>34</v>
      </c>
      <c r="D22" s="7"/>
      <c r="F22" s="7"/>
      <c r="G22" s="7"/>
      <c r="H22" s="7"/>
      <c r="I22" s="7"/>
      <c r="J22" s="7"/>
    </row>
    <row r="23" customHeight="1" spans="1:26">
      <c r="A23" s="87" t="s">
        <v>35</v>
      </c>
      <c r="C23" s="89" t="s">
        <v>36</v>
      </c>
    </row>
    <row r="24" customHeight="1" spans="1:26">
      <c r="A24" s="72" t="s">
        <v>37</v>
      </c>
      <c r="B24" s="33">
        <v>19</v>
      </c>
      <c r="C24" s="89"/>
      <c r="Q24" s="90" t="s">
        <v>38</v>
      </c>
    </row>
    <row r="25" s="70" customFormat="1" customHeight="1" spans="1:26">
      <c r="A25" s="91" t="s">
        <v>39</v>
      </c>
      <c r="B25" s="92" t="s">
        <v>40</v>
      </c>
      <c r="C25" s="93" t="s">
        <v>41</v>
      </c>
      <c r="D25" s="93" t="s">
        <v>42</v>
      </c>
      <c r="E25" s="93" t="s">
        <v>43</v>
      </c>
      <c r="F25" s="93" t="s">
        <v>44</v>
      </c>
      <c r="G25" s="93" t="s">
        <v>45</v>
      </c>
      <c r="H25" s="92" t="s">
        <v>46</v>
      </c>
      <c r="I25" s="92" t="s">
        <v>47</v>
      </c>
      <c r="J25" s="92" t="s">
        <v>48</v>
      </c>
      <c r="K25" s="92" t="s">
        <v>49</v>
      </c>
      <c r="L25" s="92" t="s">
        <v>50</v>
      </c>
      <c r="M25" s="92" t="s">
        <v>51</v>
      </c>
      <c r="N25" s="92" t="s">
        <v>52</v>
      </c>
      <c r="O25" s="92" t="s">
        <v>53</v>
      </c>
      <c r="P25" s="92" t="s">
        <v>54</v>
      </c>
      <c r="Q25" s="92" t="s">
        <v>55</v>
      </c>
      <c r="R25" s="93" t="s">
        <v>56</v>
      </c>
      <c r="S25" s="93" t="s">
        <v>57</v>
      </c>
      <c r="T25" s="93" t="s">
        <v>58</v>
      </c>
      <c r="U25" s="93" t="s">
        <v>59</v>
      </c>
      <c r="V25" s="93" t="s">
        <v>60</v>
      </c>
      <c r="W25" s="70" t="s">
        <v>61</v>
      </c>
      <c r="X25" s="70" t="s">
        <v>62</v>
      </c>
      <c r="Y25" s="94" t="s">
        <v>63</v>
      </c>
      <c r="Z25" s="70" t="s">
        <v>64</v>
      </c>
    </row>
    <row r="26" customHeight="1" spans="1:26">
      <c r="A26" s="71" t="s">
        <v>65</v>
      </c>
      <c r="B26" s="33" t="s">
        <v>66</v>
      </c>
      <c r="C26" s="33">
        <v>15.18</v>
      </c>
      <c r="D26" s="33">
        <v>42</v>
      </c>
      <c r="E26" s="33">
        <v>42</v>
      </c>
      <c r="F26" s="33">
        <v>47.4</v>
      </c>
      <c r="G26" s="33" t="s">
        <v>67</v>
      </c>
      <c r="H26" s="33" t="s">
        <v>68</v>
      </c>
      <c r="I26" s="33" t="s">
        <v>69</v>
      </c>
      <c r="J26" s="33">
        <v>9.99</v>
      </c>
      <c r="K26" s="33">
        <v>27</v>
      </c>
      <c r="L26" s="33" t="s">
        <v>70</v>
      </c>
      <c r="M26" s="33" t="s">
        <v>71</v>
      </c>
      <c r="N26" s="33" t="s">
        <v>72</v>
      </c>
      <c r="O26" s="33" t="s">
        <v>73</v>
      </c>
      <c r="P26" s="33" t="s">
        <v>67</v>
      </c>
      <c r="Q26" s="95" t="s">
        <v>74</v>
      </c>
    </row>
  </sheetData>
  <mergeCells count="1">
    <mergeCell ref="E1:H15"/>
  </mergeCells>
  <dataValidations count="8">
    <dataValidation type="list" allowBlank="1" showInputMessage="1" showErrorMessage="1" sqref="B1">
      <formula1>渠道列表!$B:$B</formula1>
    </dataValidation>
    <dataValidation type="list" allowBlank="1" showInputMessage="1" showErrorMessage="1" sqref="B2">
      <formula1>地址库!$A:$A</formula1>
    </dataValidation>
    <dataValidation type="list" allowBlank="1" showInputMessage="1" showErrorMessage="1" sqref="B17">
      <formula1>"买单报关,报关退税,合并报关"</formula1>
    </dataValidation>
    <dataValidation type="list" allowBlank="1" showInputMessage="1" showErrorMessage="1" sqref="B18">
      <formula1>"是,否,一般贸易清关,快件清关"</formula1>
    </dataValidation>
    <dataValidation type="list" allowBlank="1" showInputMessage="1" showErrorMessage="1" sqref="B21">
      <formula1>"USD,EUR,GBP"</formula1>
    </dataValidation>
    <dataValidation type="list" allowBlank="1" showInputMessage="1" showErrorMessage="1" sqref="B22">
      <formula1>站点!$A:$A</formula1>
    </dataValidation>
    <dataValidation type="list" allowBlank="1" showInputMessage="1" showErrorMessage="1" sqref="B15:B16">
      <formula1>"是,否"</formula1>
    </dataValidation>
    <dataValidation type="list" allowBlank="1" showInputMessage="1" showErrorMessage="1" sqref="I1:I2">
      <formula1>"欧洲FBA包税B价-大陆飞,欧洲FBA包税C价-香港飞,英国FBA不包税D价-直飞,英国FBA不包税L价-大陆飞,英国包税快线U价,中欧铁路专线Z价,英国海派FBA不包税E价,英国海卡FBA不包税F价,中英卡车VAT专线,中英卡车包税专线,欧洲VAT递延Q价-大陆飞,欧洲VAT递延R价-香港飞,欧洲海派VAT递延G价,美国普货专线H价,美国带电专线W价,美国海卡包税K价,美森快船A价,盐田快船,加拿大海派FBA包税B价,加拿大海卡FBA包税O价,加拿大海卡FBA包税P价,美国UPS红单,欧洲UPS红单"</formula1>
    </dataValidation>
  </dataValidations>
  <pageMargins left="0.75" right="0.75" top="1" bottom="1" header="0.3" footer="0.3"/>
  <pageSetup paperSize="257" orientation="portrait" horizontalDpi="600" vertic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169"/>
  <sheetViews>
    <sheetView workbookViewId="0">
      <pane ySplit="1" topLeftCell="A2" activePane="bottomLeft" state="frozen"/>
      <selection/>
      <selection pane="bottomLeft" activeCell="B14" sqref="B14"/>
    </sheetView>
  </sheetViews>
  <sheetFormatPr defaultColWidth="7.99166666666667" defaultRowHeight="26" customHeight="1" outlineLevelCol="1"/>
  <cols>
    <col min="1" max="1" width="23.5" style="1" customWidth="1"/>
    <col min="2" max="2" width="41.8833333333333" style="35" customWidth="1"/>
    <col min="3" max="16384" width="7.99166666666667" style="1"/>
  </cols>
  <sheetData>
    <row r="1" customHeight="1" spans="1:2">
      <c r="A1" s="36" t="s">
        <v>75</v>
      </c>
      <c r="B1" s="37" t="s">
        <v>76</v>
      </c>
    </row>
    <row r="2" customHeight="1" spans="1:2">
      <c r="A2" s="38" t="s">
        <v>77</v>
      </c>
      <c r="B2" s="39" t="s">
        <v>78</v>
      </c>
    </row>
    <row r="3" customHeight="1" spans="1:2">
      <c r="A3" s="40"/>
      <c r="B3" s="39" t="s">
        <v>79</v>
      </c>
    </row>
    <row r="4" customHeight="1" spans="1:2">
      <c r="A4" s="40"/>
      <c r="B4" s="41" t="s">
        <v>80</v>
      </c>
    </row>
    <row r="5" customHeight="1" spans="1:2">
      <c r="A5" s="40"/>
      <c r="B5" s="39" t="s">
        <v>81</v>
      </c>
    </row>
    <row r="6" customHeight="1" spans="1:2">
      <c r="A6" s="40"/>
      <c r="B6" s="39" t="s">
        <v>82</v>
      </c>
    </row>
    <row r="7" customHeight="1" spans="1:2">
      <c r="A7" s="40"/>
      <c r="B7" s="39" t="s">
        <v>83</v>
      </c>
    </row>
    <row r="8" customHeight="1" spans="1:2">
      <c r="A8" s="40"/>
      <c r="B8" s="39" t="s">
        <v>84</v>
      </c>
    </row>
    <row r="9" customHeight="1" spans="1:2">
      <c r="A9" s="40"/>
      <c r="B9" s="39" t="s">
        <v>85</v>
      </c>
    </row>
    <row r="10" customHeight="1" spans="1:2">
      <c r="A10" s="40"/>
      <c r="B10" s="39" t="s">
        <v>86</v>
      </c>
    </row>
    <row r="11" customHeight="1" spans="1:2">
      <c r="A11" s="40"/>
      <c r="B11" s="39" t="s">
        <v>87</v>
      </c>
    </row>
    <row r="12" customHeight="1" spans="1:2">
      <c r="A12" s="40"/>
      <c r="B12" s="39" t="s">
        <v>88</v>
      </c>
    </row>
    <row r="13" customHeight="1" spans="1:2">
      <c r="A13" s="40"/>
      <c r="B13" s="39" t="s">
        <v>89</v>
      </c>
    </row>
    <row r="14" customHeight="1" spans="1:2">
      <c r="A14" s="40"/>
      <c r="B14" s="39" t="s">
        <v>90</v>
      </c>
    </row>
    <row r="15" customHeight="1" spans="1:2">
      <c r="A15" s="40"/>
      <c r="B15" s="39" t="s">
        <v>91</v>
      </c>
    </row>
    <row r="16" customHeight="1" spans="1:2">
      <c r="A16" s="40"/>
      <c r="B16" s="39" t="s">
        <v>92</v>
      </c>
    </row>
    <row r="17" customHeight="1" spans="1:2">
      <c r="A17" s="40"/>
      <c r="B17" s="39" t="s">
        <v>93</v>
      </c>
    </row>
    <row r="18" customHeight="1" spans="1:2">
      <c r="A18" s="40"/>
      <c r="B18" s="39" t="s">
        <v>94</v>
      </c>
    </row>
    <row r="19" customHeight="1" spans="1:2">
      <c r="A19" s="40"/>
      <c r="B19" s="39" t="s">
        <v>95</v>
      </c>
    </row>
    <row r="20" customHeight="1" spans="1:2">
      <c r="A20" s="40"/>
      <c r="B20" s="39" t="s">
        <v>96</v>
      </c>
    </row>
    <row r="21" customHeight="1" spans="1:2">
      <c r="A21" s="40"/>
      <c r="B21" s="39" t="s">
        <v>97</v>
      </c>
    </row>
    <row r="22" customHeight="1" spans="1:2">
      <c r="A22" s="40"/>
      <c r="B22" s="39" t="s">
        <v>98</v>
      </c>
    </row>
    <row r="23" customHeight="1" spans="1:2">
      <c r="A23" s="40"/>
      <c r="B23" s="42" t="s">
        <v>99</v>
      </c>
    </row>
    <row r="24" customHeight="1" spans="1:2">
      <c r="A24" s="40"/>
      <c r="B24" s="43" t="s">
        <v>100</v>
      </c>
    </row>
    <row r="25" customHeight="1" spans="1:2">
      <c r="A25" s="38" t="s">
        <v>101</v>
      </c>
      <c r="B25" s="42" t="s">
        <v>102</v>
      </c>
    </row>
    <row r="26" customHeight="1" spans="1:2">
      <c r="A26" s="40"/>
      <c r="B26" s="42" t="s">
        <v>103</v>
      </c>
    </row>
    <row r="27" customHeight="1" spans="1:2">
      <c r="A27" s="40"/>
      <c r="B27" s="42" t="s">
        <v>104</v>
      </c>
    </row>
    <row r="28" customHeight="1" spans="1:2">
      <c r="A28" s="40"/>
      <c r="B28" s="39" t="s">
        <v>105</v>
      </c>
    </row>
    <row r="29" customHeight="1" spans="1:2">
      <c r="A29" s="40"/>
      <c r="B29" s="42" t="s">
        <v>106</v>
      </c>
    </row>
    <row r="30" customHeight="1" spans="1:2">
      <c r="A30" s="40"/>
      <c r="B30" s="39" t="s">
        <v>107</v>
      </c>
    </row>
    <row r="31" customHeight="1" spans="1:2">
      <c r="A31" s="40"/>
      <c r="B31" s="42" t="s">
        <v>108</v>
      </c>
    </row>
    <row r="32" customHeight="1" spans="1:2">
      <c r="A32" s="40"/>
      <c r="B32" s="42" t="s">
        <v>109</v>
      </c>
    </row>
    <row r="33" customHeight="1" spans="1:2">
      <c r="A33" s="40"/>
      <c r="B33" s="42" t="s">
        <v>110</v>
      </c>
    </row>
    <row r="34" customHeight="1" spans="1:2">
      <c r="A34" s="40"/>
      <c r="B34" s="39" t="s">
        <v>111</v>
      </c>
    </row>
    <row r="35" customHeight="1" spans="1:2">
      <c r="A35" s="40"/>
      <c r="B35" s="42" t="s">
        <v>112</v>
      </c>
    </row>
    <row r="36" customHeight="1" spans="1:2">
      <c r="A36" s="40"/>
      <c r="B36" s="42" t="s">
        <v>113</v>
      </c>
    </row>
    <row r="37" customHeight="1" spans="1:2">
      <c r="A37" s="40"/>
      <c r="B37" s="42" t="s">
        <v>114</v>
      </c>
    </row>
    <row r="38" customHeight="1" spans="1:2">
      <c r="A38" s="40"/>
      <c r="B38" s="42" t="s">
        <v>115</v>
      </c>
    </row>
    <row r="39" customHeight="1" spans="1:2">
      <c r="A39" s="40"/>
      <c r="B39" s="42" t="s">
        <v>116</v>
      </c>
    </row>
    <row r="40" customHeight="1" spans="1:2">
      <c r="A40" s="40"/>
      <c r="B40" s="43" t="s">
        <v>117</v>
      </c>
    </row>
    <row r="41" customHeight="1" spans="1:2">
      <c r="A41" s="44" t="s">
        <v>118</v>
      </c>
      <c r="B41" s="39" t="s">
        <v>119</v>
      </c>
    </row>
    <row r="42" customHeight="1" spans="1:2">
      <c r="A42" s="45"/>
      <c r="B42" s="39" t="s">
        <v>120</v>
      </c>
    </row>
    <row r="43" customHeight="1" spans="1:2">
      <c r="A43" s="45"/>
      <c r="B43" s="39" t="s">
        <v>121</v>
      </c>
    </row>
    <row r="44" customHeight="1" spans="1:2">
      <c r="A44" s="45"/>
      <c r="B44" s="39" t="s">
        <v>122</v>
      </c>
    </row>
    <row r="45" customHeight="1" spans="1:2">
      <c r="A45" s="45"/>
      <c r="B45" s="46" t="s">
        <v>123</v>
      </c>
    </row>
    <row r="46" customHeight="1" spans="1:2">
      <c r="A46" s="45"/>
      <c r="B46" s="46" t="s">
        <v>124</v>
      </c>
    </row>
    <row r="47" customHeight="1" spans="1:2">
      <c r="A47" s="45"/>
      <c r="B47" s="46" t="s">
        <v>125</v>
      </c>
    </row>
    <row r="48" customHeight="1" spans="1:2">
      <c r="A48" s="45"/>
      <c r="B48" s="46" t="s">
        <v>126</v>
      </c>
    </row>
    <row r="49" customHeight="1" spans="1:2">
      <c r="A49" s="45"/>
      <c r="B49" s="46" t="s">
        <v>127</v>
      </c>
    </row>
    <row r="50" customHeight="1" spans="1:2">
      <c r="A50" s="45"/>
      <c r="B50" s="46" t="s">
        <v>128</v>
      </c>
    </row>
    <row r="51" customHeight="1" spans="1:2">
      <c r="A51" s="45"/>
      <c r="B51" s="46" t="s">
        <v>129</v>
      </c>
    </row>
    <row r="52" customHeight="1" spans="1:2">
      <c r="A52" s="45"/>
      <c r="B52" s="47" t="s">
        <v>130</v>
      </c>
    </row>
    <row r="53" customHeight="1" spans="1:2">
      <c r="A53" s="48" t="s">
        <v>131</v>
      </c>
      <c r="B53" s="46" t="s">
        <v>132</v>
      </c>
    </row>
    <row r="54" customHeight="1" spans="1:2">
      <c r="A54" s="45"/>
      <c r="B54" s="46" t="s">
        <v>133</v>
      </c>
    </row>
    <row r="55" customHeight="1" spans="1:2">
      <c r="A55" s="45"/>
      <c r="B55" s="46" t="s">
        <v>134</v>
      </c>
    </row>
    <row r="56" customHeight="1" spans="1:2">
      <c r="A56" s="45"/>
      <c r="B56" s="46" t="s">
        <v>135</v>
      </c>
    </row>
    <row r="57" customHeight="1" spans="1:2">
      <c r="A57" s="45"/>
      <c r="B57" s="46" t="s">
        <v>136</v>
      </c>
    </row>
    <row r="58" customHeight="1" spans="1:2">
      <c r="A58" s="49"/>
      <c r="B58" s="46" t="s">
        <v>137</v>
      </c>
    </row>
    <row r="59" customHeight="1" spans="1:2">
      <c r="A59" s="50" t="s">
        <v>138</v>
      </c>
      <c r="B59" s="39" t="s">
        <v>139</v>
      </c>
    </row>
    <row r="60" customHeight="1" spans="1:2">
      <c r="A60" s="50"/>
      <c r="B60" s="39" t="s">
        <v>140</v>
      </c>
    </row>
    <row r="61" customHeight="1" spans="1:2">
      <c r="A61" s="50"/>
      <c r="B61" s="39" t="s">
        <v>141</v>
      </c>
    </row>
    <row r="62" customHeight="1" spans="1:2">
      <c r="A62" s="50"/>
      <c r="B62" s="39" t="s">
        <v>142</v>
      </c>
    </row>
    <row r="63" customHeight="1" spans="1:2">
      <c r="A63" s="50"/>
      <c r="B63" s="39" t="s">
        <v>143</v>
      </c>
    </row>
    <row r="64" customHeight="1" spans="1:2">
      <c r="A64" s="50"/>
      <c r="B64" s="39" t="s">
        <v>144</v>
      </c>
    </row>
    <row r="65" customHeight="1" spans="1:2">
      <c r="A65" s="50"/>
      <c r="B65" s="39" t="s">
        <v>145</v>
      </c>
    </row>
    <row r="66" customHeight="1" spans="1:2">
      <c r="A66" s="50"/>
      <c r="B66" s="39" t="s">
        <v>146</v>
      </c>
    </row>
    <row r="67" customHeight="1" spans="1:2">
      <c r="A67" s="50"/>
      <c r="B67" s="39" t="s">
        <v>147</v>
      </c>
    </row>
    <row r="68" customHeight="1" spans="1:2">
      <c r="A68" s="50"/>
      <c r="B68" s="39" t="s">
        <v>148</v>
      </c>
    </row>
    <row r="69" customHeight="1" spans="1:2">
      <c r="A69" s="50"/>
      <c r="B69" s="39" t="s">
        <v>149</v>
      </c>
    </row>
    <row r="70" customHeight="1" spans="1:2">
      <c r="A70" s="50"/>
      <c r="B70" s="39" t="s">
        <v>150</v>
      </c>
    </row>
    <row r="71" customHeight="1" spans="1:2">
      <c r="A71" s="50"/>
      <c r="B71" s="39" t="s">
        <v>151</v>
      </c>
    </row>
    <row r="72" customHeight="1" spans="1:2">
      <c r="A72" s="40" t="s">
        <v>152</v>
      </c>
      <c r="B72" s="39" t="s">
        <v>153</v>
      </c>
    </row>
    <row r="73" customHeight="1" spans="1:2">
      <c r="A73" s="40"/>
      <c r="B73" s="39" t="s">
        <v>154</v>
      </c>
    </row>
    <row r="74" customHeight="1" spans="1:2">
      <c r="A74" s="40"/>
      <c r="B74" s="39" t="s">
        <v>155</v>
      </c>
    </row>
    <row r="75" customHeight="1" spans="1:2">
      <c r="A75" s="40"/>
      <c r="B75" s="39" t="s">
        <v>156</v>
      </c>
    </row>
    <row r="76" customHeight="1" spans="1:2">
      <c r="A76" s="40"/>
      <c r="B76" s="39" t="s">
        <v>157</v>
      </c>
    </row>
    <row r="77" customHeight="1" spans="1:2">
      <c r="A77" s="40"/>
      <c r="B77" s="39" t="s">
        <v>158</v>
      </c>
    </row>
    <row r="78" customHeight="1" spans="1:2">
      <c r="A78" s="44" t="s">
        <v>159</v>
      </c>
      <c r="B78" s="39" t="s">
        <v>160</v>
      </c>
    </row>
    <row r="79" customHeight="1" spans="1:2">
      <c r="A79" s="45"/>
      <c r="B79" s="39" t="s">
        <v>161</v>
      </c>
    </row>
    <row r="80" customHeight="1" spans="1:2">
      <c r="A80" s="45"/>
      <c r="B80" s="39" t="s">
        <v>162</v>
      </c>
    </row>
    <row r="81" customHeight="1" spans="1:2">
      <c r="A81" s="45"/>
      <c r="B81" s="39" t="s">
        <v>163</v>
      </c>
    </row>
    <row r="82" customHeight="1" spans="1:2">
      <c r="A82" s="45"/>
      <c r="B82" s="39" t="s">
        <v>164</v>
      </c>
    </row>
    <row r="83" customHeight="1" spans="1:2">
      <c r="A83" s="45"/>
      <c r="B83" s="39" t="s">
        <v>165</v>
      </c>
    </row>
    <row r="84" customHeight="1" spans="1:2">
      <c r="A84" s="45"/>
      <c r="B84" s="51" t="s">
        <v>166</v>
      </c>
    </row>
    <row r="85" customHeight="1" spans="1:2">
      <c r="A85" s="45"/>
      <c r="B85" s="51" t="s">
        <v>167</v>
      </c>
    </row>
    <row r="86" customHeight="1" spans="1:2">
      <c r="A86" s="49"/>
      <c r="B86" s="51" t="s">
        <v>168</v>
      </c>
    </row>
    <row r="87" customHeight="1" spans="1:2">
      <c r="A87" s="50" t="s">
        <v>169</v>
      </c>
      <c r="B87" s="52" t="s">
        <v>170</v>
      </c>
    </row>
    <row r="88" customHeight="1" spans="1:2">
      <c r="A88" s="50"/>
      <c r="B88" s="52" t="s">
        <v>171</v>
      </c>
    </row>
    <row r="89" customHeight="1" spans="1:2">
      <c r="A89" s="50" t="s">
        <v>172</v>
      </c>
      <c r="B89" s="52" t="s">
        <v>173</v>
      </c>
    </row>
    <row r="90" customHeight="1" spans="1:2">
      <c r="A90" s="50"/>
      <c r="B90" s="52" t="s">
        <v>174</v>
      </c>
    </row>
    <row r="91" customHeight="1" spans="1:2">
      <c r="A91" s="50"/>
      <c r="B91" s="52" t="s">
        <v>175</v>
      </c>
    </row>
    <row r="92" customHeight="1" spans="1:2">
      <c r="A92" s="50"/>
      <c r="B92" s="52" t="s">
        <v>176</v>
      </c>
    </row>
    <row r="93" customHeight="1" spans="1:2">
      <c r="A93" s="50"/>
      <c r="B93" s="52" t="s">
        <v>177</v>
      </c>
    </row>
    <row r="94" customHeight="1" spans="1:2">
      <c r="A94" s="50"/>
      <c r="B94" s="52" t="s">
        <v>178</v>
      </c>
    </row>
    <row r="95" customHeight="1" spans="1:2">
      <c r="A95" s="50"/>
      <c r="B95" s="52" t="s">
        <v>179</v>
      </c>
    </row>
    <row r="96" customHeight="1" spans="1:2">
      <c r="A96" s="38" t="s">
        <v>180</v>
      </c>
      <c r="B96" s="52" t="s">
        <v>181</v>
      </c>
    </row>
    <row r="97" customHeight="1" spans="1:2">
      <c r="A97" s="40"/>
      <c r="B97" s="52" t="s">
        <v>182</v>
      </c>
    </row>
    <row r="98" customHeight="1" spans="1:2">
      <c r="A98" s="40"/>
      <c r="B98" s="52" t="s">
        <v>183</v>
      </c>
    </row>
    <row r="99" customHeight="1" spans="1:2">
      <c r="A99" s="40"/>
      <c r="B99" s="39" t="s">
        <v>184</v>
      </c>
    </row>
    <row r="100" customHeight="1" spans="1:2">
      <c r="A100" s="40"/>
      <c r="B100" s="39" t="s">
        <v>185</v>
      </c>
    </row>
    <row r="101" customHeight="1" spans="1:2">
      <c r="A101" s="40"/>
      <c r="B101" s="39" t="s">
        <v>186</v>
      </c>
    </row>
    <row r="102" customHeight="1" spans="1:2">
      <c r="A102" s="40"/>
      <c r="B102" s="53" t="s">
        <v>187</v>
      </c>
    </row>
    <row r="103" customHeight="1" spans="1:2">
      <c r="A103" s="40"/>
      <c r="B103" s="53" t="s">
        <v>188</v>
      </c>
    </row>
    <row r="104" customHeight="1" spans="1:2">
      <c r="A104" s="54"/>
      <c r="B104" s="53" t="s">
        <v>189</v>
      </c>
    </row>
    <row r="105" customHeight="1" spans="1:2">
      <c r="A105" s="55" t="s">
        <v>190</v>
      </c>
      <c r="B105" s="39" t="s">
        <v>191</v>
      </c>
    </row>
    <row r="106" customHeight="1" spans="1:2">
      <c r="A106" s="55"/>
      <c r="B106" s="39" t="s">
        <v>192</v>
      </c>
    </row>
    <row r="107" customHeight="1" spans="1:2">
      <c r="A107" s="55"/>
      <c r="B107" s="39" t="s">
        <v>193</v>
      </c>
    </row>
    <row r="108" customHeight="1" spans="1:2">
      <c r="A108" s="38" t="s">
        <v>194</v>
      </c>
      <c r="B108" s="39" t="s">
        <v>195</v>
      </c>
    </row>
    <row r="109" customHeight="1" spans="1:2">
      <c r="A109" s="40"/>
      <c r="B109" s="39" t="s">
        <v>196</v>
      </c>
    </row>
    <row r="110" customHeight="1" spans="1:2">
      <c r="A110" s="40"/>
      <c r="B110" s="39" t="s">
        <v>197</v>
      </c>
    </row>
    <row r="111" customHeight="1" spans="1:2">
      <c r="A111" s="40"/>
      <c r="B111" s="39" t="s">
        <v>198</v>
      </c>
    </row>
    <row r="112" customHeight="1" spans="1:2">
      <c r="A112" s="38" t="s">
        <v>199</v>
      </c>
      <c r="B112" s="39" t="s">
        <v>200</v>
      </c>
    </row>
    <row r="113" customHeight="1" spans="1:2">
      <c r="A113" s="54"/>
      <c r="B113" s="39" t="s">
        <v>201</v>
      </c>
    </row>
    <row r="114" customHeight="1" spans="1:2">
      <c r="A114" s="56" t="s">
        <v>202</v>
      </c>
      <c r="B114" s="57" t="s">
        <v>203</v>
      </c>
    </row>
    <row r="115" customHeight="1" spans="1:2">
      <c r="A115" s="56" t="s">
        <v>204</v>
      </c>
      <c r="B115" s="57" t="s">
        <v>205</v>
      </c>
    </row>
    <row r="116" customHeight="1" spans="1:2">
      <c r="A116" s="58" t="s">
        <v>206</v>
      </c>
      <c r="B116" s="59" t="s">
        <v>207</v>
      </c>
    </row>
    <row r="117" customHeight="1" spans="1:2">
      <c r="A117" s="58"/>
      <c r="B117" s="59" t="s">
        <v>208</v>
      </c>
    </row>
    <row r="118" customHeight="1" spans="1:2">
      <c r="A118" s="58"/>
      <c r="B118" s="59" t="s">
        <v>209</v>
      </c>
    </row>
    <row r="119" customHeight="1" spans="1:2">
      <c r="A119" s="58"/>
      <c r="B119" s="59" t="s">
        <v>210</v>
      </c>
    </row>
    <row r="120" customHeight="1" spans="1:2">
      <c r="A120" s="58"/>
      <c r="B120" s="60" t="s">
        <v>211</v>
      </c>
    </row>
    <row r="121" customHeight="1" spans="1:2">
      <c r="A121" s="58"/>
      <c r="B121" s="60" t="s">
        <v>212</v>
      </c>
    </row>
    <row r="122" customHeight="1" spans="1:2">
      <c r="A122" s="58" t="s">
        <v>213</v>
      </c>
      <c r="B122" s="61" t="s">
        <v>214</v>
      </c>
    </row>
    <row r="123" customHeight="1" spans="1:2">
      <c r="A123" s="58"/>
      <c r="B123" s="61" t="s">
        <v>215</v>
      </c>
    </row>
    <row r="124" customHeight="1" spans="1:2">
      <c r="A124" s="58"/>
      <c r="B124" s="61" t="s">
        <v>216</v>
      </c>
    </row>
    <row r="125" customHeight="1" spans="1:2">
      <c r="A125" s="58"/>
      <c r="B125" s="61" t="s">
        <v>217</v>
      </c>
    </row>
    <row r="126" customHeight="1" spans="1:2">
      <c r="A126" s="58"/>
      <c r="B126" s="62" t="s">
        <v>218</v>
      </c>
    </row>
    <row r="127" customHeight="1" spans="1:2">
      <c r="A127" s="58"/>
      <c r="B127" s="62" t="s">
        <v>219</v>
      </c>
    </row>
    <row r="128" customHeight="1" spans="1:2">
      <c r="A128" s="63" t="s">
        <v>172</v>
      </c>
      <c r="B128" s="62" t="s">
        <v>220</v>
      </c>
    </row>
    <row r="129" customHeight="1" spans="1:2">
      <c r="A129" s="63"/>
      <c r="B129" s="62" t="s">
        <v>221</v>
      </c>
    </row>
    <row r="130" customHeight="1" spans="1:2">
      <c r="A130" s="63"/>
      <c r="B130" s="64" t="s">
        <v>222</v>
      </c>
    </row>
    <row r="131" customHeight="1" spans="1:2">
      <c r="A131" s="63"/>
      <c r="B131" s="64" t="s">
        <v>223</v>
      </c>
    </row>
    <row r="132" customHeight="1" spans="1:2">
      <c r="A132" s="63"/>
      <c r="B132" s="64" t="s">
        <v>224</v>
      </c>
    </row>
    <row r="133" customHeight="1" spans="1:2">
      <c r="A133" s="63"/>
      <c r="B133" s="64" t="s">
        <v>225</v>
      </c>
    </row>
    <row r="134" customHeight="1" spans="1:2">
      <c r="A134" s="65" t="s">
        <v>226</v>
      </c>
      <c r="B134" s="64" t="s">
        <v>227</v>
      </c>
    </row>
    <row r="135" customHeight="1" spans="1:2">
      <c r="A135" s="66"/>
      <c r="B135" s="64" t="s">
        <v>228</v>
      </c>
    </row>
    <row r="136" customHeight="1" spans="1:2">
      <c r="A136" s="66"/>
      <c r="B136" s="64" t="s">
        <v>1</v>
      </c>
    </row>
    <row r="137" customHeight="1" spans="1:2">
      <c r="A137" s="67"/>
      <c r="B137" s="64" t="s">
        <v>229</v>
      </c>
    </row>
    <row r="138" customHeight="1" spans="1:2">
      <c r="A138" s="68" t="s">
        <v>230</v>
      </c>
      <c r="B138" s="64" t="s">
        <v>231</v>
      </c>
    </row>
    <row r="139" customHeight="1" spans="1:2">
      <c r="A139" s="68"/>
      <c r="B139" s="64" t="s">
        <v>232</v>
      </c>
    </row>
    <row r="140" customHeight="1" spans="1:2">
      <c r="A140" s="68"/>
      <c r="B140" s="64" t="s">
        <v>233</v>
      </c>
    </row>
    <row r="141" customHeight="1" spans="1:2">
      <c r="A141" s="68"/>
      <c r="B141" s="64" t="s">
        <v>234</v>
      </c>
    </row>
    <row r="142" customHeight="1" spans="1:2">
      <c r="A142" s="68" t="s">
        <v>235</v>
      </c>
      <c r="B142" s="64" t="s">
        <v>236</v>
      </c>
    </row>
    <row r="143" customHeight="1" spans="1:2">
      <c r="A143" s="68"/>
      <c r="B143" s="64" t="s">
        <v>237</v>
      </c>
    </row>
    <row r="144" customHeight="1" spans="1:2">
      <c r="A144" s="68"/>
      <c r="B144" s="64" t="s">
        <v>238</v>
      </c>
    </row>
    <row r="145" customHeight="1" spans="1:2">
      <c r="A145" s="68"/>
      <c r="B145" s="59" t="s">
        <v>239</v>
      </c>
    </row>
    <row r="146" customHeight="1" spans="1:2">
      <c r="A146" s="68" t="s">
        <v>240</v>
      </c>
      <c r="B146" s="59" t="s">
        <v>241</v>
      </c>
    </row>
    <row r="147" customHeight="1" spans="1:2">
      <c r="A147" s="65" t="s">
        <v>242</v>
      </c>
      <c r="B147" s="59" t="s">
        <v>243</v>
      </c>
    </row>
    <row r="148" customHeight="1" spans="1:2">
      <c r="A148" s="66"/>
      <c r="B148" s="59" t="s">
        <v>244</v>
      </c>
    </row>
    <row r="149" customHeight="1" spans="1:2">
      <c r="A149" s="66"/>
      <c r="B149" s="59" t="s">
        <v>245</v>
      </c>
    </row>
    <row r="150" customHeight="1" spans="1:2">
      <c r="A150" s="66"/>
      <c r="B150" s="59" t="s">
        <v>246</v>
      </c>
    </row>
    <row r="151" customHeight="1" spans="1:2">
      <c r="A151" s="66"/>
      <c r="B151" s="59" t="s">
        <v>247</v>
      </c>
    </row>
    <row r="152" customHeight="1" spans="1:2">
      <c r="A152" s="66"/>
      <c r="B152" s="59" t="s">
        <v>248</v>
      </c>
    </row>
    <row r="153" customHeight="1" spans="1:2">
      <c r="A153" s="66"/>
      <c r="B153" s="59" t="s">
        <v>249</v>
      </c>
    </row>
    <row r="154" customHeight="1" spans="1:2">
      <c r="A154" s="66"/>
      <c r="B154" s="59" t="s">
        <v>250</v>
      </c>
    </row>
    <row r="155" customHeight="1" spans="1:2">
      <c r="A155" s="66"/>
      <c r="B155" s="59" t="s">
        <v>251</v>
      </c>
    </row>
    <row r="156" customHeight="1" spans="1:2">
      <c r="A156" s="65" t="s">
        <v>252</v>
      </c>
      <c r="B156" s="59" t="s">
        <v>253</v>
      </c>
    </row>
    <row r="157" customHeight="1" spans="1:2">
      <c r="A157" s="66"/>
      <c r="B157" s="59" t="s">
        <v>254</v>
      </c>
    </row>
    <row r="158" customHeight="1" spans="1:2">
      <c r="A158" s="66"/>
      <c r="B158" s="59" t="s">
        <v>255</v>
      </c>
    </row>
    <row r="159" customHeight="1" spans="1:2">
      <c r="A159" s="66"/>
      <c r="B159" s="59" t="s">
        <v>256</v>
      </c>
    </row>
    <row r="160" customHeight="1" spans="1:2">
      <c r="A160" s="65" t="s">
        <v>257</v>
      </c>
      <c r="B160" s="59" t="s">
        <v>258</v>
      </c>
    </row>
    <row r="161" customHeight="1" spans="1:2">
      <c r="A161" s="66"/>
      <c r="B161" s="59" t="s">
        <v>259</v>
      </c>
    </row>
    <row r="162" customHeight="1" spans="1:2">
      <c r="A162" s="66"/>
      <c r="B162" s="59" t="s">
        <v>260</v>
      </c>
    </row>
    <row r="163" customHeight="1" spans="1:2">
      <c r="A163" s="66"/>
      <c r="B163" s="59" t="s">
        <v>261</v>
      </c>
    </row>
    <row r="164" customHeight="1" spans="1:2">
      <c r="A164" s="66"/>
      <c r="B164" s="59" t="s">
        <v>262</v>
      </c>
    </row>
    <row r="165" customHeight="1" spans="1:2">
      <c r="A165" s="67"/>
      <c r="B165" s="59" t="s">
        <v>263</v>
      </c>
    </row>
    <row r="166" customHeight="1" spans="1:2">
      <c r="A166" s="68" t="s">
        <v>264</v>
      </c>
      <c r="B166" s="59" t="s">
        <v>265</v>
      </c>
    </row>
    <row r="167" customHeight="1" spans="1:2">
      <c r="A167" s="68"/>
      <c r="B167" s="59" t="s">
        <v>266</v>
      </c>
    </row>
    <row r="168" customHeight="1" spans="1:2">
      <c r="A168" s="68"/>
      <c r="B168" s="59" t="s">
        <v>267</v>
      </c>
    </row>
    <row r="169" customHeight="1" spans="1:2">
      <c r="A169" s="68"/>
      <c r="B169" s="59" t="s">
        <v>268</v>
      </c>
    </row>
  </sheetData>
  <sheetProtection algorithmName="SHA-512" hashValue="u0UggsTxzlkdWtCJco9meJ8SuxwMqjthUR5YZmuLTw8/8pSgWZp8GP/EdzkriThGkcIRDeXjzxNatFyMKaj0Eg==" saltValue="XaF1JOgHj7DytrVpTs6i/A==" spinCount="100000" sheet="1" objects="1"/>
  <autoFilter xmlns:etc="http://www.wps.cn/officeDocument/2017/etCustomData" ref="A1:B169" etc:filterBottomFollowUsedRange="0">
    <extLst/>
  </autoFilter>
  <mergeCells count="23">
    <mergeCell ref="A2:A12"/>
    <mergeCell ref="A25:A39"/>
    <mergeCell ref="A41:A48"/>
    <mergeCell ref="A53:A58"/>
    <mergeCell ref="A59:A71"/>
    <mergeCell ref="A72:A77"/>
    <mergeCell ref="A78:A86"/>
    <mergeCell ref="A87:A88"/>
    <mergeCell ref="A89:A95"/>
    <mergeCell ref="A96:A104"/>
    <mergeCell ref="A105:A107"/>
    <mergeCell ref="A108:A111"/>
    <mergeCell ref="A112:A113"/>
    <mergeCell ref="A116:A121"/>
    <mergeCell ref="A122:A127"/>
    <mergeCell ref="A128:A133"/>
    <mergeCell ref="A134:A137"/>
    <mergeCell ref="A138:A141"/>
    <mergeCell ref="A142:A145"/>
    <mergeCell ref="A147:A155"/>
    <mergeCell ref="A156:A159"/>
    <mergeCell ref="A160:A165"/>
    <mergeCell ref="A166:A169"/>
  </mergeCells>
  <conditionalFormatting sqref="B1">
    <cfRule type="duplicateValues" dxfId="0" priority="2"/>
  </conditionalFormatting>
  <conditionalFormatting sqref="B2:B101 B105:B113">
    <cfRule type="duplicateValues" dxfId="0" priority="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N279"/>
  <sheetViews>
    <sheetView workbookViewId="0">
      <pane ySplit="1" topLeftCell="A254" activePane="bottomLeft" state="frozen"/>
      <selection/>
      <selection pane="bottomLeft" activeCell="D281" sqref="D281"/>
    </sheetView>
  </sheetViews>
  <sheetFormatPr defaultColWidth="7.99166666666667" defaultRowHeight="21" customHeight="1"/>
  <cols>
    <col min="1" max="1" width="19.3833333333333" style="11" customWidth="1"/>
    <col min="2" max="2" width="13.125" style="7" customWidth="1"/>
    <col min="3" max="3" width="18.3833333333333" style="7" customWidth="1"/>
    <col min="4" max="4" width="29.6333333333333" style="7" customWidth="1"/>
    <col min="5" max="5" width="27.8833333333333" style="7" customWidth="1"/>
    <col min="6" max="6" width="17.1333333333333" style="7" customWidth="1"/>
    <col min="7" max="7" width="4.25" style="7" customWidth="1"/>
    <col min="8" max="8" width="31.6333333333333" style="7" customWidth="1"/>
    <col min="9" max="9" width="28.6333333333333" style="7" customWidth="1"/>
    <col min="10" max="10" width="7.25" style="7" customWidth="1"/>
    <col min="11" max="11" width="18.8833333333333" style="7" customWidth="1"/>
    <col min="12" max="12" width="14" style="7" customWidth="1"/>
    <col min="13" max="13" width="7.13333333333333" style="7" customWidth="1"/>
    <col min="14" max="14" width="11" style="7" customWidth="1"/>
    <col min="15" max="242" width="11.6333333333333" style="7" customWidth="1"/>
    <col min="243" max="243" width="11.6333333333333" style="7"/>
    <col min="244" max="16384" width="7.99166666666667" style="7"/>
  </cols>
  <sheetData>
    <row r="1" s="6" customFormat="1" ht="39" customHeight="1" spans="1:14">
      <c r="A1" s="12" t="s">
        <v>269</v>
      </c>
      <c r="B1" s="13" t="s">
        <v>270</v>
      </c>
      <c r="C1" s="14" t="s">
        <v>271</v>
      </c>
      <c r="D1" s="13" t="s">
        <v>272</v>
      </c>
      <c r="E1" s="13" t="s">
        <v>273</v>
      </c>
      <c r="F1" s="13" t="s">
        <v>274</v>
      </c>
      <c r="G1" s="13" t="s">
        <v>275</v>
      </c>
      <c r="H1" s="13" t="s">
        <v>276</v>
      </c>
      <c r="I1" s="13" t="s">
        <v>277</v>
      </c>
      <c r="J1" s="13" t="s">
        <v>278</v>
      </c>
      <c r="K1" s="13" t="s">
        <v>279</v>
      </c>
      <c r="L1" s="13" t="s">
        <v>280</v>
      </c>
      <c r="M1" s="13" t="s">
        <v>281</v>
      </c>
      <c r="N1" s="13" t="s">
        <v>282</v>
      </c>
    </row>
    <row r="2" s="7" customFormat="1" customHeight="1" spans="1:14">
      <c r="A2" s="11" t="s">
        <v>283</v>
      </c>
      <c r="B2" s="7" t="s">
        <v>283</v>
      </c>
      <c r="C2" s="7" t="s">
        <v>283</v>
      </c>
      <c r="D2" s="7" t="s">
        <v>284</v>
      </c>
      <c r="E2" s="7"/>
      <c r="F2" s="97" t="s">
        <v>285</v>
      </c>
      <c r="G2" s="7"/>
      <c r="H2" s="7" t="s">
        <v>286</v>
      </c>
      <c r="I2" s="7" t="s">
        <v>287</v>
      </c>
      <c r="J2" s="7"/>
      <c r="K2" s="7" t="s">
        <v>288</v>
      </c>
      <c r="L2" s="7" t="s">
        <v>289</v>
      </c>
      <c r="M2" s="7" t="s">
        <v>290</v>
      </c>
      <c r="N2" s="7" t="s">
        <v>291</v>
      </c>
    </row>
    <row r="3" s="7" customFormat="1" customHeight="1" spans="1:14">
      <c r="A3" s="11" t="s">
        <v>292</v>
      </c>
      <c r="B3" s="7" t="s">
        <v>292</v>
      </c>
      <c r="C3" s="7" t="s">
        <v>292</v>
      </c>
      <c r="D3" s="7" t="s">
        <v>284</v>
      </c>
      <c r="E3" s="7"/>
      <c r="F3" s="97" t="s">
        <v>285</v>
      </c>
      <c r="G3" s="7"/>
      <c r="H3" s="7" t="s">
        <v>293</v>
      </c>
      <c r="I3" s="7" t="s">
        <v>294</v>
      </c>
      <c r="J3" s="7"/>
      <c r="K3" s="7" t="s">
        <v>295</v>
      </c>
      <c r="L3" s="7" t="s">
        <v>295</v>
      </c>
      <c r="M3" s="7" t="s">
        <v>290</v>
      </c>
      <c r="N3" s="7" t="s">
        <v>296</v>
      </c>
    </row>
    <row r="4" s="7" customFormat="1" customHeight="1" spans="1:14">
      <c r="A4" s="11" t="s">
        <v>297</v>
      </c>
      <c r="B4" s="7" t="s">
        <v>297</v>
      </c>
      <c r="C4" s="7" t="s">
        <v>297</v>
      </c>
      <c r="D4" s="7" t="s">
        <v>284</v>
      </c>
      <c r="E4" s="7"/>
      <c r="F4" s="97" t="s">
        <v>285</v>
      </c>
      <c r="G4" s="7"/>
      <c r="H4" s="7" t="s">
        <v>298</v>
      </c>
      <c r="I4" s="7" t="s">
        <v>299</v>
      </c>
      <c r="J4" s="7"/>
      <c r="K4" s="7" t="s">
        <v>300</v>
      </c>
      <c r="L4" s="7" t="s">
        <v>301</v>
      </c>
      <c r="M4" s="7" t="s">
        <v>290</v>
      </c>
      <c r="N4" s="7" t="s">
        <v>302</v>
      </c>
    </row>
    <row r="5" s="7" customFormat="1" customHeight="1" spans="1:14">
      <c r="A5" s="11" t="s">
        <v>303</v>
      </c>
      <c r="B5" s="7" t="s">
        <v>303</v>
      </c>
      <c r="C5" s="7" t="s">
        <v>303</v>
      </c>
      <c r="D5" s="7" t="s">
        <v>284</v>
      </c>
      <c r="E5" s="7"/>
      <c r="F5" s="97" t="s">
        <v>285</v>
      </c>
      <c r="G5" s="7"/>
      <c r="H5" s="7" t="s">
        <v>304</v>
      </c>
      <c r="I5" s="7" t="s">
        <v>305</v>
      </c>
      <c r="J5" s="7"/>
      <c r="K5" s="7" t="s">
        <v>306</v>
      </c>
      <c r="L5" s="7" t="s">
        <v>301</v>
      </c>
      <c r="M5" s="7" t="s">
        <v>290</v>
      </c>
      <c r="N5" s="7" t="s">
        <v>307</v>
      </c>
    </row>
    <row r="6" s="7" customFormat="1" customHeight="1" spans="1:14">
      <c r="A6" s="11" t="s">
        <v>308</v>
      </c>
      <c r="B6" s="7" t="s">
        <v>308</v>
      </c>
      <c r="C6" s="7" t="s">
        <v>308</v>
      </c>
      <c r="D6" s="7" t="s">
        <v>284</v>
      </c>
      <c r="E6" s="7"/>
      <c r="F6" s="97" t="s">
        <v>285</v>
      </c>
      <c r="G6" s="7"/>
      <c r="H6" s="7" t="s">
        <v>309</v>
      </c>
      <c r="I6" s="7" t="s">
        <v>310</v>
      </c>
      <c r="J6" s="7"/>
      <c r="K6" s="7" t="s">
        <v>311</v>
      </c>
      <c r="L6" s="7" t="s">
        <v>312</v>
      </c>
      <c r="M6" s="7" t="s">
        <v>290</v>
      </c>
      <c r="N6" s="7" t="s">
        <v>313</v>
      </c>
    </row>
    <row r="7" s="7" customFormat="1" customHeight="1" spans="1:14">
      <c r="A7" s="11" t="s">
        <v>314</v>
      </c>
      <c r="B7" s="7" t="s">
        <v>314</v>
      </c>
      <c r="C7" s="7" t="s">
        <v>314</v>
      </c>
      <c r="D7" s="7" t="s">
        <v>284</v>
      </c>
      <c r="E7" s="7"/>
      <c r="F7" s="97" t="s">
        <v>285</v>
      </c>
      <c r="G7" s="7"/>
      <c r="H7" s="7" t="s">
        <v>315</v>
      </c>
      <c r="I7" s="7" t="s">
        <v>287</v>
      </c>
      <c r="J7" s="7"/>
      <c r="K7" s="7" t="s">
        <v>311</v>
      </c>
      <c r="L7" s="7" t="s">
        <v>311</v>
      </c>
      <c r="M7" s="7" t="s">
        <v>290</v>
      </c>
      <c r="N7" s="7" t="s">
        <v>316</v>
      </c>
    </row>
    <row r="8" s="7" customFormat="1" customHeight="1" spans="1:14">
      <c r="A8" s="11" t="s">
        <v>317</v>
      </c>
      <c r="B8" s="7" t="s">
        <v>317</v>
      </c>
      <c r="C8" s="7" t="s">
        <v>317</v>
      </c>
      <c r="D8" s="7" t="s">
        <v>284</v>
      </c>
      <c r="E8" s="7"/>
      <c r="F8" s="97" t="s">
        <v>285</v>
      </c>
      <c r="G8" s="7"/>
      <c r="H8" s="7" t="s">
        <v>318</v>
      </c>
      <c r="I8" s="7" t="s">
        <v>287</v>
      </c>
      <c r="J8" s="7"/>
      <c r="K8" s="7" t="s">
        <v>319</v>
      </c>
      <c r="L8" s="7" t="s">
        <v>320</v>
      </c>
      <c r="M8" s="7" t="s">
        <v>290</v>
      </c>
      <c r="N8" s="7" t="s">
        <v>321</v>
      </c>
    </row>
    <row r="9" s="7" customFormat="1" customHeight="1" spans="1:14">
      <c r="A9" s="11" t="s">
        <v>322</v>
      </c>
      <c r="B9" s="7" t="s">
        <v>322</v>
      </c>
      <c r="C9" s="7" t="s">
        <v>322</v>
      </c>
      <c r="D9" s="7" t="s">
        <v>284</v>
      </c>
      <c r="E9" s="7"/>
      <c r="F9" s="97" t="s">
        <v>285</v>
      </c>
      <c r="G9" s="7"/>
      <c r="H9" s="7" t="s">
        <v>323</v>
      </c>
      <c r="I9" s="7" t="s">
        <v>287</v>
      </c>
      <c r="J9" s="7"/>
      <c r="K9" s="7" t="s">
        <v>324</v>
      </c>
      <c r="L9" s="7" t="s">
        <v>325</v>
      </c>
      <c r="M9" s="7" t="s">
        <v>290</v>
      </c>
      <c r="N9" s="7" t="s">
        <v>326</v>
      </c>
    </row>
    <row r="10" s="7" customFormat="1" customHeight="1" spans="1:14">
      <c r="A10" s="11" t="s">
        <v>327</v>
      </c>
      <c r="B10" s="7" t="s">
        <v>327</v>
      </c>
      <c r="C10" s="7" t="s">
        <v>327</v>
      </c>
      <c r="D10" s="7" t="s">
        <v>284</v>
      </c>
      <c r="E10" s="7"/>
      <c r="F10" s="97" t="s">
        <v>285</v>
      </c>
      <c r="G10" s="7"/>
      <c r="H10" s="7" t="s">
        <v>328</v>
      </c>
      <c r="I10" s="7" t="s">
        <v>287</v>
      </c>
      <c r="J10" s="7"/>
      <c r="K10" s="7" t="s">
        <v>329</v>
      </c>
      <c r="L10" s="7" t="s">
        <v>330</v>
      </c>
      <c r="M10" s="7" t="s">
        <v>290</v>
      </c>
      <c r="N10" s="7" t="s">
        <v>331</v>
      </c>
    </row>
    <row r="11" s="7" customFormat="1" customHeight="1" spans="1:14">
      <c r="A11" s="11" t="s">
        <v>332</v>
      </c>
      <c r="B11" s="7" t="s">
        <v>332</v>
      </c>
      <c r="C11" s="7" t="s">
        <v>332</v>
      </c>
      <c r="D11" s="7" t="s">
        <v>284</v>
      </c>
      <c r="E11" s="7"/>
      <c r="F11" s="97" t="s">
        <v>285</v>
      </c>
      <c r="G11" s="7"/>
      <c r="H11" s="7" t="s">
        <v>333</v>
      </c>
      <c r="I11" s="7" t="s">
        <v>334</v>
      </c>
      <c r="J11" s="7"/>
      <c r="K11" s="7" t="s">
        <v>335</v>
      </c>
      <c r="L11" s="7" t="s">
        <v>336</v>
      </c>
      <c r="M11" s="7" t="s">
        <v>290</v>
      </c>
      <c r="N11" s="7" t="s">
        <v>337</v>
      </c>
    </row>
    <row r="12" s="7" customFormat="1" customHeight="1" spans="1:14">
      <c r="A12" s="11" t="s">
        <v>338</v>
      </c>
      <c r="B12" s="7" t="s">
        <v>338</v>
      </c>
      <c r="C12" s="7" t="s">
        <v>338</v>
      </c>
      <c r="D12" s="7" t="s">
        <v>284</v>
      </c>
      <c r="E12" s="7"/>
      <c r="F12" s="97" t="s">
        <v>285</v>
      </c>
      <c r="G12" s="7"/>
      <c r="H12" s="7" t="s">
        <v>339</v>
      </c>
      <c r="I12" s="7" t="s">
        <v>287</v>
      </c>
      <c r="J12" s="7"/>
      <c r="K12" s="7" t="s">
        <v>340</v>
      </c>
      <c r="L12" s="7" t="s">
        <v>341</v>
      </c>
      <c r="M12" s="7" t="s">
        <v>290</v>
      </c>
      <c r="N12" s="7" t="s">
        <v>342</v>
      </c>
    </row>
    <row r="13" s="7" customFormat="1" customHeight="1" spans="1:14">
      <c r="A13" s="11" t="s">
        <v>343</v>
      </c>
      <c r="B13" s="7" t="s">
        <v>343</v>
      </c>
      <c r="C13" s="7" t="s">
        <v>343</v>
      </c>
      <c r="D13" s="7" t="s">
        <v>284</v>
      </c>
      <c r="E13" s="7"/>
      <c r="F13" s="97" t="s">
        <v>285</v>
      </c>
      <c r="G13" s="7"/>
      <c r="H13" s="7" t="s">
        <v>344</v>
      </c>
      <c r="I13" s="7" t="s">
        <v>287</v>
      </c>
      <c r="J13" s="7"/>
      <c r="K13" s="7" t="s">
        <v>345</v>
      </c>
      <c r="L13" s="7" t="s">
        <v>346</v>
      </c>
      <c r="M13" s="7" t="s">
        <v>290</v>
      </c>
      <c r="N13" s="7" t="s">
        <v>347</v>
      </c>
    </row>
    <row r="14" s="7" customFormat="1" customHeight="1" spans="1:14">
      <c r="A14" s="11" t="s">
        <v>348</v>
      </c>
      <c r="B14" s="7" t="s">
        <v>348</v>
      </c>
      <c r="C14" s="7" t="s">
        <v>348</v>
      </c>
      <c r="D14" s="7" t="s">
        <v>284</v>
      </c>
      <c r="E14" s="7"/>
      <c r="F14" s="97" t="s">
        <v>285</v>
      </c>
      <c r="G14" s="7"/>
      <c r="H14" s="7" t="s">
        <v>293</v>
      </c>
      <c r="I14" s="7" t="s">
        <v>349</v>
      </c>
      <c r="J14" s="7"/>
      <c r="K14" s="7" t="s">
        <v>350</v>
      </c>
      <c r="L14" s="7" t="s">
        <v>289</v>
      </c>
      <c r="M14" s="7" t="s">
        <v>290</v>
      </c>
      <c r="N14" s="7" t="s">
        <v>351</v>
      </c>
    </row>
    <row r="15" s="7" customFormat="1" customHeight="1" spans="1:14">
      <c r="A15" s="11" t="s">
        <v>352</v>
      </c>
      <c r="B15" s="7" t="s">
        <v>352</v>
      </c>
      <c r="C15" s="7" t="s">
        <v>352</v>
      </c>
      <c r="D15" s="7" t="s">
        <v>284</v>
      </c>
      <c r="E15" s="7"/>
      <c r="F15" s="97" t="s">
        <v>285</v>
      </c>
      <c r="G15" s="7"/>
      <c r="H15" s="7" t="s">
        <v>353</v>
      </c>
      <c r="I15" s="7" t="s">
        <v>287</v>
      </c>
      <c r="J15" s="7"/>
      <c r="K15" s="7" t="s">
        <v>354</v>
      </c>
      <c r="L15" s="7" t="s">
        <v>354</v>
      </c>
      <c r="M15" s="7" t="s">
        <v>290</v>
      </c>
      <c r="N15" s="7" t="s">
        <v>355</v>
      </c>
    </row>
    <row r="16" s="7" customFormat="1" customHeight="1" spans="1:14">
      <c r="A16" s="11" t="s">
        <v>356</v>
      </c>
      <c r="B16" s="7" t="s">
        <v>356</v>
      </c>
      <c r="C16" s="7" t="s">
        <v>356</v>
      </c>
      <c r="D16" s="7" t="s">
        <v>284</v>
      </c>
      <c r="E16" s="7"/>
      <c r="F16" s="97" t="s">
        <v>285</v>
      </c>
      <c r="G16" s="7"/>
      <c r="H16" s="7" t="s">
        <v>357</v>
      </c>
      <c r="I16" s="7" t="s">
        <v>287</v>
      </c>
      <c r="J16" s="7"/>
      <c r="K16" s="7" t="s">
        <v>358</v>
      </c>
      <c r="L16" s="7" t="s">
        <v>359</v>
      </c>
      <c r="M16" s="7" t="s">
        <v>290</v>
      </c>
      <c r="N16" s="7" t="s">
        <v>360</v>
      </c>
    </row>
    <row r="17" s="7" customFormat="1" customHeight="1" spans="1:14">
      <c r="A17" s="11" t="s">
        <v>361</v>
      </c>
      <c r="B17" s="7" t="s">
        <v>361</v>
      </c>
      <c r="C17" s="7" t="s">
        <v>361</v>
      </c>
      <c r="D17" s="7" t="s">
        <v>284</v>
      </c>
      <c r="E17" s="7"/>
      <c r="F17" s="97" t="s">
        <v>285</v>
      </c>
      <c r="G17" s="7"/>
      <c r="H17" s="7" t="s">
        <v>362</v>
      </c>
      <c r="I17" s="7" t="s">
        <v>287</v>
      </c>
      <c r="J17" s="7"/>
      <c r="K17" s="7" t="s">
        <v>363</v>
      </c>
      <c r="L17" s="7" t="s">
        <v>364</v>
      </c>
      <c r="M17" s="7" t="s">
        <v>290</v>
      </c>
      <c r="N17" s="7" t="s">
        <v>365</v>
      </c>
    </row>
    <row r="18" s="7" customFormat="1" customHeight="1" spans="1:14">
      <c r="A18" s="11" t="s">
        <v>366</v>
      </c>
      <c r="B18" s="7" t="s">
        <v>366</v>
      </c>
      <c r="C18" s="7" t="s">
        <v>366</v>
      </c>
      <c r="D18" s="7" t="s">
        <v>284</v>
      </c>
      <c r="E18" s="7"/>
      <c r="F18" s="97" t="s">
        <v>285</v>
      </c>
      <c r="G18" s="7"/>
      <c r="H18" s="7" t="s">
        <v>367</v>
      </c>
      <c r="I18" s="7" t="s">
        <v>368</v>
      </c>
      <c r="J18" s="7"/>
      <c r="K18" s="7" t="s">
        <v>369</v>
      </c>
      <c r="L18" s="7" t="s">
        <v>370</v>
      </c>
      <c r="M18" s="7" t="s">
        <v>290</v>
      </c>
      <c r="N18" s="7" t="s">
        <v>371</v>
      </c>
    </row>
    <row r="19" s="7" customFormat="1" customHeight="1" spans="1:14">
      <c r="A19" s="11" t="s">
        <v>372</v>
      </c>
      <c r="B19" s="7" t="s">
        <v>372</v>
      </c>
      <c r="C19" s="7" t="s">
        <v>372</v>
      </c>
      <c r="D19" s="7" t="s">
        <v>284</v>
      </c>
      <c r="E19" s="7"/>
      <c r="F19" s="97" t="s">
        <v>285</v>
      </c>
      <c r="G19" s="7"/>
      <c r="H19" s="7" t="s">
        <v>373</v>
      </c>
      <c r="I19" s="7" t="s">
        <v>287</v>
      </c>
      <c r="J19" s="7"/>
      <c r="K19" s="7" t="s">
        <v>374</v>
      </c>
      <c r="L19" s="7" t="s">
        <v>375</v>
      </c>
      <c r="M19" s="7" t="s">
        <v>290</v>
      </c>
      <c r="N19" s="7" t="s">
        <v>376</v>
      </c>
    </row>
    <row r="20" s="7" customFormat="1" customHeight="1" spans="1:14">
      <c r="A20" s="11" t="s">
        <v>377</v>
      </c>
      <c r="B20" s="7" t="s">
        <v>377</v>
      </c>
      <c r="C20" s="7" t="s">
        <v>377</v>
      </c>
      <c r="D20" s="7" t="s">
        <v>284</v>
      </c>
      <c r="E20" s="7"/>
      <c r="F20" s="97" t="s">
        <v>285</v>
      </c>
      <c r="G20" s="7"/>
      <c r="H20" s="7" t="s">
        <v>378</v>
      </c>
      <c r="I20" s="7" t="s">
        <v>287</v>
      </c>
      <c r="J20" s="7"/>
      <c r="K20" s="7" t="s">
        <v>379</v>
      </c>
      <c r="L20" s="7" t="s">
        <v>380</v>
      </c>
      <c r="M20" s="7" t="s">
        <v>290</v>
      </c>
      <c r="N20" s="7" t="s">
        <v>381</v>
      </c>
    </row>
    <row r="21" s="7" customFormat="1" customHeight="1" spans="1:14">
      <c r="A21" s="11" t="s">
        <v>382</v>
      </c>
      <c r="B21" s="7" t="s">
        <v>382</v>
      </c>
      <c r="C21" s="7" t="s">
        <v>382</v>
      </c>
      <c r="D21" s="7" t="s">
        <v>284</v>
      </c>
      <c r="E21" s="7"/>
      <c r="F21" s="97" t="s">
        <v>285</v>
      </c>
      <c r="G21" s="7"/>
      <c r="H21" s="7" t="s">
        <v>383</v>
      </c>
      <c r="I21" s="7" t="s">
        <v>287</v>
      </c>
      <c r="J21" s="7"/>
      <c r="K21" s="7" t="s">
        <v>384</v>
      </c>
      <c r="L21" s="7" t="s">
        <v>384</v>
      </c>
      <c r="M21" s="7" t="s">
        <v>290</v>
      </c>
      <c r="N21" s="7" t="s">
        <v>385</v>
      </c>
    </row>
    <row r="22" s="7" customFormat="1" customHeight="1" spans="1:14">
      <c r="A22" s="11" t="s">
        <v>386</v>
      </c>
      <c r="B22" s="7" t="s">
        <v>386</v>
      </c>
      <c r="C22" s="7" t="s">
        <v>386</v>
      </c>
      <c r="D22" s="7" t="s">
        <v>284</v>
      </c>
      <c r="E22" s="7"/>
      <c r="F22" s="97" t="s">
        <v>285</v>
      </c>
      <c r="G22" s="7"/>
      <c r="H22" s="7" t="s">
        <v>387</v>
      </c>
      <c r="I22" s="7" t="s">
        <v>388</v>
      </c>
      <c r="J22" s="7"/>
      <c r="K22" s="7" t="s">
        <v>389</v>
      </c>
      <c r="L22" s="7" t="s">
        <v>390</v>
      </c>
      <c r="M22" s="7" t="s">
        <v>290</v>
      </c>
      <c r="N22" s="7" t="s">
        <v>391</v>
      </c>
    </row>
    <row r="23" s="7" customFormat="1" customHeight="1" spans="1:14">
      <c r="A23" s="11" t="s">
        <v>392</v>
      </c>
      <c r="B23" s="7" t="s">
        <v>392</v>
      </c>
      <c r="C23" s="7" t="s">
        <v>392</v>
      </c>
      <c r="D23" s="7" t="s">
        <v>284</v>
      </c>
      <c r="E23" s="7"/>
      <c r="F23" s="97" t="s">
        <v>285</v>
      </c>
      <c r="G23" s="7"/>
      <c r="H23" s="7" t="s">
        <v>393</v>
      </c>
      <c r="I23" s="7" t="s">
        <v>287</v>
      </c>
      <c r="J23" s="7"/>
      <c r="K23" s="7" t="s">
        <v>394</v>
      </c>
      <c r="L23" s="7" t="s">
        <v>395</v>
      </c>
      <c r="M23" s="7" t="s">
        <v>290</v>
      </c>
      <c r="N23" s="7" t="s">
        <v>396</v>
      </c>
    </row>
    <row r="24" s="7" customFormat="1" customHeight="1" spans="1:14">
      <c r="A24" s="11" t="s">
        <v>397</v>
      </c>
      <c r="B24" s="7" t="s">
        <v>397</v>
      </c>
      <c r="C24" s="7" t="s">
        <v>397</v>
      </c>
      <c r="D24" s="7" t="s">
        <v>284</v>
      </c>
      <c r="E24" s="7"/>
      <c r="F24" s="97" t="s">
        <v>285</v>
      </c>
      <c r="G24" s="7"/>
      <c r="H24" s="7" t="s">
        <v>398</v>
      </c>
      <c r="I24" s="7" t="s">
        <v>399</v>
      </c>
      <c r="J24" s="7"/>
      <c r="K24" s="7" t="s">
        <v>389</v>
      </c>
      <c r="L24" s="7" t="s">
        <v>389</v>
      </c>
      <c r="M24" s="7" t="s">
        <v>290</v>
      </c>
      <c r="N24" s="7" t="s">
        <v>400</v>
      </c>
    </row>
    <row r="25" s="7" customFormat="1" customHeight="1" spans="1:14">
      <c r="A25" s="11" t="s">
        <v>401</v>
      </c>
      <c r="B25" s="7" t="s">
        <v>401</v>
      </c>
      <c r="C25" s="7" t="s">
        <v>401</v>
      </c>
      <c r="D25" s="7" t="s">
        <v>284</v>
      </c>
      <c r="E25" s="7"/>
      <c r="F25" s="97" t="s">
        <v>285</v>
      </c>
      <c r="G25" s="7"/>
      <c r="H25" s="7" t="s">
        <v>402</v>
      </c>
      <c r="I25" s="7" t="s">
        <v>403</v>
      </c>
      <c r="J25" s="7"/>
      <c r="K25" s="7" t="s">
        <v>404</v>
      </c>
      <c r="L25" s="7" t="s">
        <v>404</v>
      </c>
      <c r="M25" s="7" t="s">
        <v>290</v>
      </c>
      <c r="N25" s="7" t="s">
        <v>405</v>
      </c>
    </row>
    <row r="26" s="7" customFormat="1" customHeight="1" spans="1:14">
      <c r="A26" s="11" t="s">
        <v>406</v>
      </c>
      <c r="B26" s="7" t="s">
        <v>406</v>
      </c>
      <c r="C26" s="7" t="s">
        <v>406</v>
      </c>
      <c r="D26" s="7" t="s">
        <v>284</v>
      </c>
      <c r="E26" s="7"/>
      <c r="F26" s="97" t="s">
        <v>285</v>
      </c>
      <c r="G26" s="7"/>
      <c r="H26" s="7" t="s">
        <v>407</v>
      </c>
      <c r="I26" s="7" t="s">
        <v>408</v>
      </c>
      <c r="J26" s="7"/>
      <c r="K26" s="7" t="s">
        <v>409</v>
      </c>
      <c r="L26" s="7" t="s">
        <v>410</v>
      </c>
      <c r="M26" s="7" t="s">
        <v>290</v>
      </c>
      <c r="N26" s="7" t="s">
        <v>411</v>
      </c>
    </row>
    <row r="27" s="7" customFormat="1" customHeight="1" spans="1:14">
      <c r="A27" s="11" t="s">
        <v>412</v>
      </c>
      <c r="B27" s="7" t="s">
        <v>412</v>
      </c>
      <c r="C27" s="7" t="s">
        <v>412</v>
      </c>
      <c r="D27" s="7" t="s">
        <v>284</v>
      </c>
      <c r="E27" s="7"/>
      <c r="F27" s="97" t="s">
        <v>285</v>
      </c>
      <c r="G27" s="7"/>
      <c r="H27" s="7" t="s">
        <v>413</v>
      </c>
      <c r="I27" s="7" t="s">
        <v>287</v>
      </c>
      <c r="J27" s="7"/>
      <c r="K27" s="7" t="s">
        <v>414</v>
      </c>
      <c r="L27" s="7" t="s">
        <v>414</v>
      </c>
      <c r="M27" s="7" t="s">
        <v>290</v>
      </c>
      <c r="N27" s="7" t="s">
        <v>415</v>
      </c>
    </row>
    <row r="28" s="7" customFormat="1" customHeight="1" spans="1:14">
      <c r="A28" s="11" t="s">
        <v>416</v>
      </c>
      <c r="B28" s="7" t="s">
        <v>416</v>
      </c>
      <c r="C28" s="7" t="s">
        <v>416</v>
      </c>
      <c r="D28" s="7" t="s">
        <v>284</v>
      </c>
      <c r="E28" s="7"/>
      <c r="F28" s="97" t="s">
        <v>285</v>
      </c>
      <c r="G28" s="7"/>
      <c r="H28" s="7" t="s">
        <v>417</v>
      </c>
      <c r="I28" s="7" t="s">
        <v>287</v>
      </c>
      <c r="J28" s="7"/>
      <c r="K28" s="7" t="s">
        <v>418</v>
      </c>
      <c r="L28" s="7" t="s">
        <v>419</v>
      </c>
      <c r="M28" s="7" t="s">
        <v>290</v>
      </c>
      <c r="N28" s="7" t="s">
        <v>420</v>
      </c>
    </row>
    <row r="29" s="7" customFormat="1" customHeight="1" spans="1:14">
      <c r="A29" s="11" t="s">
        <v>421</v>
      </c>
      <c r="B29" s="7" t="s">
        <v>421</v>
      </c>
      <c r="C29" s="7" t="s">
        <v>421</v>
      </c>
      <c r="D29" s="7" t="s">
        <v>284</v>
      </c>
      <c r="E29" s="7"/>
      <c r="F29" s="97" t="s">
        <v>285</v>
      </c>
      <c r="G29" s="7"/>
      <c r="H29" s="7" t="s">
        <v>422</v>
      </c>
      <c r="I29" s="7" t="s">
        <v>423</v>
      </c>
      <c r="J29" s="7"/>
      <c r="K29" s="7" t="s">
        <v>424</v>
      </c>
      <c r="L29" s="7" t="s">
        <v>409</v>
      </c>
      <c r="M29" s="7" t="s">
        <v>290</v>
      </c>
      <c r="N29" s="7" t="s">
        <v>425</v>
      </c>
    </row>
    <row r="30" s="7" customFormat="1" customHeight="1" spans="1:14">
      <c r="A30" s="11" t="s">
        <v>426</v>
      </c>
      <c r="B30" s="7" t="s">
        <v>426</v>
      </c>
      <c r="C30" s="7" t="s">
        <v>426</v>
      </c>
      <c r="D30" s="7" t="s">
        <v>284</v>
      </c>
      <c r="E30" s="7"/>
      <c r="F30" s="97" t="s">
        <v>285</v>
      </c>
      <c r="G30" s="7"/>
      <c r="H30" s="7" t="s">
        <v>427</v>
      </c>
      <c r="I30" s="7" t="s">
        <v>287</v>
      </c>
      <c r="J30" s="7"/>
      <c r="K30" s="7" t="s">
        <v>428</v>
      </c>
      <c r="L30" s="7" t="s">
        <v>429</v>
      </c>
      <c r="M30" s="7" t="s">
        <v>290</v>
      </c>
      <c r="N30" s="7" t="s">
        <v>430</v>
      </c>
    </row>
    <row r="31" s="7" customFormat="1" customHeight="1" spans="1:14">
      <c r="A31" s="11" t="s">
        <v>431</v>
      </c>
      <c r="B31" s="7" t="s">
        <v>431</v>
      </c>
      <c r="C31" s="7" t="s">
        <v>431</v>
      </c>
      <c r="D31" s="7" t="s">
        <v>284</v>
      </c>
      <c r="E31" s="7"/>
      <c r="F31" s="97" t="s">
        <v>285</v>
      </c>
      <c r="G31" s="7"/>
      <c r="H31" s="7" t="s">
        <v>432</v>
      </c>
      <c r="I31" s="7" t="s">
        <v>287</v>
      </c>
      <c r="J31" s="7"/>
      <c r="K31" s="7" t="s">
        <v>433</v>
      </c>
      <c r="L31" s="7" t="s">
        <v>433</v>
      </c>
      <c r="M31" s="7" t="s">
        <v>290</v>
      </c>
      <c r="N31" s="7" t="s">
        <v>434</v>
      </c>
    </row>
    <row r="32" s="7" customFormat="1" customHeight="1" spans="1:14">
      <c r="A32" s="11" t="s">
        <v>435</v>
      </c>
      <c r="B32" s="7" t="s">
        <v>435</v>
      </c>
      <c r="C32" s="7" t="s">
        <v>435</v>
      </c>
      <c r="D32" s="7" t="s">
        <v>284</v>
      </c>
      <c r="E32" s="7"/>
      <c r="F32" s="97" t="s">
        <v>285</v>
      </c>
      <c r="G32" s="7"/>
      <c r="H32" s="7" t="s">
        <v>436</v>
      </c>
      <c r="I32" s="7" t="s">
        <v>437</v>
      </c>
      <c r="J32" s="7"/>
      <c r="K32" s="7" t="s">
        <v>438</v>
      </c>
      <c r="L32" s="7" t="s">
        <v>438</v>
      </c>
      <c r="M32" s="7" t="s">
        <v>290</v>
      </c>
      <c r="N32" s="7" t="s">
        <v>439</v>
      </c>
    </row>
    <row r="33" s="7" customFormat="1" customHeight="1" spans="1:14">
      <c r="A33" s="11" t="s">
        <v>440</v>
      </c>
      <c r="B33" s="7" t="s">
        <v>440</v>
      </c>
      <c r="C33" s="7" t="s">
        <v>440</v>
      </c>
      <c r="D33" s="7" t="s">
        <v>284</v>
      </c>
      <c r="E33" s="7"/>
      <c r="F33" s="97" t="s">
        <v>285</v>
      </c>
      <c r="G33" s="7"/>
      <c r="H33" s="7" t="s">
        <v>441</v>
      </c>
      <c r="I33" s="7" t="s">
        <v>287</v>
      </c>
      <c r="J33" s="7"/>
      <c r="K33" s="7" t="s">
        <v>442</v>
      </c>
      <c r="L33" s="7"/>
      <c r="M33" s="7" t="s">
        <v>290</v>
      </c>
      <c r="N33" s="7" t="s">
        <v>443</v>
      </c>
    </row>
    <row r="34" s="7" customFormat="1" customHeight="1" spans="1:14">
      <c r="A34" s="11" t="s">
        <v>444</v>
      </c>
      <c r="B34" s="7" t="s">
        <v>444</v>
      </c>
      <c r="C34" s="7" t="s">
        <v>444</v>
      </c>
      <c r="D34" s="7" t="s">
        <v>284</v>
      </c>
      <c r="E34" s="7"/>
      <c r="F34" s="97" t="s">
        <v>285</v>
      </c>
      <c r="G34" s="7"/>
      <c r="H34" s="7" t="s">
        <v>445</v>
      </c>
      <c r="I34" s="7" t="s">
        <v>287</v>
      </c>
      <c r="J34" s="7"/>
      <c r="K34" s="7" t="s">
        <v>446</v>
      </c>
      <c r="L34" s="7"/>
      <c r="M34" s="7" t="s">
        <v>290</v>
      </c>
      <c r="N34" s="7" t="s">
        <v>443</v>
      </c>
    </row>
    <row r="35" s="7" customFormat="1" customHeight="1" spans="1:14">
      <c r="A35" s="11" t="s">
        <v>447</v>
      </c>
      <c r="B35" s="7" t="s">
        <v>447</v>
      </c>
      <c r="C35" s="7" t="s">
        <v>447</v>
      </c>
      <c r="D35" s="7" t="s">
        <v>284</v>
      </c>
      <c r="E35" s="7"/>
      <c r="F35" s="97" t="s">
        <v>285</v>
      </c>
      <c r="G35" s="7"/>
      <c r="H35" s="7" t="s">
        <v>448</v>
      </c>
      <c r="I35" s="7" t="s">
        <v>287</v>
      </c>
      <c r="J35" s="7"/>
      <c r="K35" s="7" t="s">
        <v>449</v>
      </c>
      <c r="L35" s="7" t="s">
        <v>324</v>
      </c>
      <c r="M35" s="7" t="s">
        <v>290</v>
      </c>
      <c r="N35" s="7" t="s">
        <v>450</v>
      </c>
    </row>
    <row r="36" s="7" customFormat="1" customHeight="1" spans="1:14">
      <c r="A36" s="11" t="s">
        <v>451</v>
      </c>
      <c r="B36" s="7" t="s">
        <v>451</v>
      </c>
      <c r="C36" s="7" t="s">
        <v>451</v>
      </c>
      <c r="D36" s="7" t="s">
        <v>284</v>
      </c>
      <c r="E36" s="7"/>
      <c r="F36" s="97" t="s">
        <v>285</v>
      </c>
      <c r="G36" s="7"/>
      <c r="H36" s="7" t="s">
        <v>452</v>
      </c>
      <c r="I36" s="7" t="s">
        <v>287</v>
      </c>
      <c r="J36" s="7"/>
      <c r="K36" s="7" t="s">
        <v>453</v>
      </c>
      <c r="L36" s="7" t="s">
        <v>454</v>
      </c>
      <c r="M36" s="7" t="s">
        <v>290</v>
      </c>
      <c r="N36" s="7" t="s">
        <v>455</v>
      </c>
    </row>
    <row r="37" s="7" customFormat="1" customHeight="1" spans="1:14">
      <c r="A37" s="11" t="s">
        <v>456</v>
      </c>
      <c r="B37" s="7" t="s">
        <v>456</v>
      </c>
      <c r="C37" s="7" t="s">
        <v>456</v>
      </c>
      <c r="D37" s="7" t="s">
        <v>284</v>
      </c>
      <c r="E37" s="7"/>
      <c r="F37" s="97" t="s">
        <v>285</v>
      </c>
      <c r="G37" s="7"/>
      <c r="H37" s="7" t="s">
        <v>457</v>
      </c>
      <c r="I37" s="7" t="s">
        <v>287</v>
      </c>
      <c r="J37" s="7"/>
      <c r="K37" s="7" t="s">
        <v>324</v>
      </c>
      <c r="L37" s="7" t="s">
        <v>324</v>
      </c>
      <c r="M37" s="7" t="s">
        <v>290</v>
      </c>
      <c r="N37" s="7" t="s">
        <v>458</v>
      </c>
    </row>
    <row r="38" s="7" customFormat="1" customHeight="1" spans="1:14">
      <c r="A38" s="11" t="s">
        <v>459</v>
      </c>
      <c r="B38" s="7" t="s">
        <v>459</v>
      </c>
      <c r="C38" s="7" t="s">
        <v>459</v>
      </c>
      <c r="D38" s="7" t="s">
        <v>284</v>
      </c>
      <c r="E38" s="7"/>
      <c r="F38" s="97" t="s">
        <v>285</v>
      </c>
      <c r="G38" s="7"/>
      <c r="H38" s="7" t="s">
        <v>460</v>
      </c>
      <c r="I38" s="7" t="s">
        <v>287</v>
      </c>
      <c r="J38" s="7"/>
      <c r="K38" s="7" t="s">
        <v>461</v>
      </c>
      <c r="L38" s="7" t="s">
        <v>462</v>
      </c>
      <c r="M38" s="7" t="s">
        <v>290</v>
      </c>
      <c r="N38" s="7" t="s">
        <v>463</v>
      </c>
    </row>
    <row r="39" s="7" customFormat="1" customHeight="1" spans="1:14">
      <c r="A39" s="11" t="s">
        <v>464</v>
      </c>
      <c r="B39" s="7" t="s">
        <v>464</v>
      </c>
      <c r="C39" s="7" t="s">
        <v>464</v>
      </c>
      <c r="D39" s="7" t="s">
        <v>284</v>
      </c>
      <c r="E39" s="7"/>
      <c r="F39" s="97" t="s">
        <v>285</v>
      </c>
      <c r="G39" s="7"/>
      <c r="H39" s="7" t="s">
        <v>465</v>
      </c>
      <c r="I39" s="7" t="s">
        <v>466</v>
      </c>
      <c r="J39" s="7"/>
      <c r="K39" s="7" t="s">
        <v>467</v>
      </c>
      <c r="L39" s="7" t="s">
        <v>301</v>
      </c>
      <c r="M39" s="7" t="s">
        <v>290</v>
      </c>
      <c r="N39" s="7" t="s">
        <v>307</v>
      </c>
    </row>
    <row r="40" s="7" customFormat="1" customHeight="1" spans="1:14">
      <c r="A40" s="11" t="s">
        <v>468</v>
      </c>
      <c r="B40" s="7" t="s">
        <v>468</v>
      </c>
      <c r="C40" s="7" t="s">
        <v>468</v>
      </c>
      <c r="D40" s="7" t="s">
        <v>284</v>
      </c>
      <c r="E40" s="7"/>
      <c r="F40" s="97" t="s">
        <v>285</v>
      </c>
      <c r="G40" s="7"/>
      <c r="H40" s="7" t="s">
        <v>469</v>
      </c>
      <c r="I40" s="7" t="s">
        <v>287</v>
      </c>
      <c r="J40" s="7"/>
      <c r="K40" s="7" t="s">
        <v>453</v>
      </c>
      <c r="L40" s="7" t="s">
        <v>453</v>
      </c>
      <c r="M40" s="7" t="s">
        <v>290</v>
      </c>
      <c r="N40" s="7" t="s">
        <v>458</v>
      </c>
    </row>
    <row r="41" s="7" customFormat="1" customHeight="1" spans="1:14">
      <c r="A41" s="11" t="s">
        <v>470</v>
      </c>
      <c r="B41" s="7" t="s">
        <v>470</v>
      </c>
      <c r="C41" s="7" t="s">
        <v>470</v>
      </c>
      <c r="D41" s="7" t="s">
        <v>284</v>
      </c>
      <c r="E41" s="7"/>
      <c r="F41" s="97" t="s">
        <v>285</v>
      </c>
      <c r="G41" s="7"/>
      <c r="H41" s="7" t="s">
        <v>471</v>
      </c>
      <c r="I41" s="7" t="s">
        <v>287</v>
      </c>
      <c r="J41" s="7"/>
      <c r="K41" s="7" t="s">
        <v>472</v>
      </c>
      <c r="L41" s="7" t="s">
        <v>472</v>
      </c>
      <c r="M41" s="7" t="s">
        <v>290</v>
      </c>
      <c r="N41" s="7" t="s">
        <v>313</v>
      </c>
    </row>
    <row r="42" s="7" customFormat="1" customHeight="1" spans="1:14">
      <c r="A42" s="11" t="s">
        <v>473</v>
      </c>
      <c r="B42" s="7" t="s">
        <v>473</v>
      </c>
      <c r="C42" s="7" t="s">
        <v>473</v>
      </c>
      <c r="D42" s="7" t="s">
        <v>284</v>
      </c>
      <c r="E42" s="7"/>
      <c r="F42" s="97" t="s">
        <v>285</v>
      </c>
      <c r="G42" s="7"/>
      <c r="H42" s="7" t="s">
        <v>474</v>
      </c>
      <c r="I42" s="7" t="s">
        <v>287</v>
      </c>
      <c r="J42" s="7"/>
      <c r="K42" s="7" t="s">
        <v>475</v>
      </c>
      <c r="L42" s="7" t="s">
        <v>475</v>
      </c>
      <c r="M42" s="7" t="s">
        <v>290</v>
      </c>
      <c r="N42" s="7" t="s">
        <v>316</v>
      </c>
    </row>
    <row r="43" s="7" customFormat="1" customHeight="1" spans="1:14">
      <c r="A43" s="11" t="s">
        <v>476</v>
      </c>
      <c r="B43" s="7" t="s">
        <v>476</v>
      </c>
      <c r="C43" s="7" t="s">
        <v>476</v>
      </c>
      <c r="D43" s="7" t="s">
        <v>284</v>
      </c>
      <c r="E43" s="7"/>
      <c r="F43" s="97" t="s">
        <v>285</v>
      </c>
      <c r="G43" s="7"/>
      <c r="H43" s="7" t="s">
        <v>477</v>
      </c>
      <c r="I43" s="7" t="s">
        <v>478</v>
      </c>
      <c r="J43" s="7"/>
      <c r="K43" s="7" t="s">
        <v>472</v>
      </c>
      <c r="L43" s="7" t="s">
        <v>472</v>
      </c>
      <c r="M43" s="7" t="s">
        <v>290</v>
      </c>
      <c r="N43" s="7" t="s">
        <v>479</v>
      </c>
    </row>
    <row r="44" s="7" customFormat="1" customHeight="1" spans="1:14">
      <c r="A44" s="11" t="s">
        <v>480</v>
      </c>
      <c r="B44" s="7" t="s">
        <v>480</v>
      </c>
      <c r="C44" s="7" t="s">
        <v>480</v>
      </c>
      <c r="D44" s="7" t="s">
        <v>284</v>
      </c>
      <c r="E44" s="7"/>
      <c r="F44" s="97" t="s">
        <v>285</v>
      </c>
      <c r="G44" s="7"/>
      <c r="H44" s="7" t="s">
        <v>481</v>
      </c>
      <c r="I44" s="7" t="s">
        <v>287</v>
      </c>
      <c r="J44" s="7"/>
      <c r="K44" s="7" t="s">
        <v>482</v>
      </c>
      <c r="L44" s="7" t="s">
        <v>483</v>
      </c>
      <c r="M44" s="7" t="s">
        <v>290</v>
      </c>
      <c r="N44" s="7" t="s">
        <v>484</v>
      </c>
    </row>
    <row r="45" s="7" customFormat="1" customHeight="1" spans="1:14">
      <c r="A45" s="11" t="s">
        <v>485</v>
      </c>
      <c r="B45" s="7" t="s">
        <v>485</v>
      </c>
      <c r="C45" s="7" t="s">
        <v>485</v>
      </c>
      <c r="D45" s="7" t="s">
        <v>284</v>
      </c>
      <c r="E45" s="7"/>
      <c r="F45" s="97" t="s">
        <v>285</v>
      </c>
      <c r="G45" s="7"/>
      <c r="H45" s="7" t="s">
        <v>486</v>
      </c>
      <c r="I45" s="7" t="s">
        <v>287</v>
      </c>
      <c r="J45" s="7"/>
      <c r="K45" s="7" t="s">
        <v>487</v>
      </c>
      <c r="L45" s="7" t="s">
        <v>488</v>
      </c>
      <c r="M45" s="7" t="s">
        <v>290</v>
      </c>
      <c r="N45" s="7" t="s">
        <v>489</v>
      </c>
    </row>
    <row r="46" s="7" customFormat="1" customHeight="1" spans="1:14">
      <c r="A46" s="11" t="s">
        <v>490</v>
      </c>
      <c r="B46" s="7" t="s">
        <v>490</v>
      </c>
      <c r="C46" s="7" t="s">
        <v>490</v>
      </c>
      <c r="D46" s="7" t="s">
        <v>284</v>
      </c>
      <c r="E46" s="7"/>
      <c r="F46" s="97" t="s">
        <v>285</v>
      </c>
      <c r="G46" s="7"/>
      <c r="H46" s="7" t="s">
        <v>491</v>
      </c>
      <c r="I46" s="7" t="s">
        <v>287</v>
      </c>
      <c r="J46" s="7"/>
      <c r="K46" s="7" t="s">
        <v>492</v>
      </c>
      <c r="L46" s="7" t="s">
        <v>493</v>
      </c>
      <c r="M46" s="7" t="s">
        <v>290</v>
      </c>
      <c r="N46" s="7" t="s">
        <v>494</v>
      </c>
    </row>
    <row r="47" s="7" customFormat="1" customHeight="1" spans="1:14">
      <c r="A47" s="11" t="s">
        <v>495</v>
      </c>
      <c r="B47" s="7" t="s">
        <v>495</v>
      </c>
      <c r="C47" s="7" t="s">
        <v>495</v>
      </c>
      <c r="D47" s="7" t="s">
        <v>284</v>
      </c>
      <c r="E47" s="7"/>
      <c r="F47" s="97" t="s">
        <v>285</v>
      </c>
      <c r="G47" s="7"/>
      <c r="H47" s="7" t="s">
        <v>496</v>
      </c>
      <c r="I47" s="7" t="s">
        <v>287</v>
      </c>
      <c r="J47" s="7"/>
      <c r="K47" s="7" t="s">
        <v>497</v>
      </c>
      <c r="L47" s="7" t="s">
        <v>380</v>
      </c>
      <c r="M47" s="7" t="s">
        <v>290</v>
      </c>
      <c r="N47" s="7" t="s">
        <v>498</v>
      </c>
    </row>
    <row r="48" s="7" customFormat="1" customHeight="1" spans="1:14">
      <c r="A48" s="11" t="s">
        <v>499</v>
      </c>
      <c r="B48" s="7" t="s">
        <v>499</v>
      </c>
      <c r="C48" s="7" t="s">
        <v>499</v>
      </c>
      <c r="D48" s="7" t="s">
        <v>284</v>
      </c>
      <c r="E48" s="7"/>
      <c r="F48" s="97" t="s">
        <v>285</v>
      </c>
      <c r="G48" s="7"/>
      <c r="H48" s="7" t="s">
        <v>500</v>
      </c>
      <c r="I48" s="7" t="s">
        <v>287</v>
      </c>
      <c r="J48" s="7"/>
      <c r="K48" s="7" t="s">
        <v>501</v>
      </c>
      <c r="L48" s="7" t="s">
        <v>501</v>
      </c>
      <c r="M48" s="7" t="s">
        <v>290</v>
      </c>
      <c r="N48" s="7" t="s">
        <v>502</v>
      </c>
    </row>
    <row r="49" s="7" customFormat="1" customHeight="1" spans="1:14">
      <c r="A49" s="11" t="s">
        <v>503</v>
      </c>
      <c r="B49" s="7" t="s">
        <v>503</v>
      </c>
      <c r="C49" s="7" t="s">
        <v>503</v>
      </c>
      <c r="D49" s="7" t="s">
        <v>284</v>
      </c>
      <c r="E49" s="7"/>
      <c r="F49" s="97" t="s">
        <v>285</v>
      </c>
      <c r="G49" s="7"/>
      <c r="H49" s="7" t="s">
        <v>504</v>
      </c>
      <c r="I49" s="7" t="s">
        <v>287</v>
      </c>
      <c r="J49" s="7"/>
      <c r="K49" s="7" t="s">
        <v>505</v>
      </c>
      <c r="L49" s="7" t="s">
        <v>506</v>
      </c>
      <c r="M49" s="7" t="s">
        <v>290</v>
      </c>
      <c r="N49" s="7" t="s">
        <v>507</v>
      </c>
    </row>
    <row r="50" s="7" customFormat="1" customHeight="1" spans="1:14">
      <c r="A50" s="11" t="s">
        <v>508</v>
      </c>
      <c r="B50" s="7" t="s">
        <v>508</v>
      </c>
      <c r="C50" s="7" t="s">
        <v>508</v>
      </c>
      <c r="D50" s="7" t="s">
        <v>284</v>
      </c>
      <c r="E50" s="7"/>
      <c r="F50" s="97" t="s">
        <v>285</v>
      </c>
      <c r="G50" s="7"/>
      <c r="H50" s="7" t="s">
        <v>509</v>
      </c>
      <c r="I50" s="7" t="s">
        <v>287</v>
      </c>
      <c r="J50" s="7"/>
      <c r="K50" s="7" t="s">
        <v>510</v>
      </c>
      <c r="L50" s="7" t="s">
        <v>510</v>
      </c>
      <c r="M50" s="7" t="s">
        <v>290</v>
      </c>
      <c r="N50" s="7" t="s">
        <v>511</v>
      </c>
    </row>
    <row r="51" s="7" customFormat="1" customHeight="1" spans="1:14">
      <c r="A51" s="11" t="s">
        <v>512</v>
      </c>
      <c r="B51" s="7" t="s">
        <v>512</v>
      </c>
      <c r="C51" s="7" t="s">
        <v>512</v>
      </c>
      <c r="D51" s="7" t="s">
        <v>284</v>
      </c>
      <c r="E51" s="7"/>
      <c r="F51" s="97" t="s">
        <v>285</v>
      </c>
      <c r="G51" s="7"/>
      <c r="H51" s="7" t="s">
        <v>513</v>
      </c>
      <c r="I51" s="7" t="s">
        <v>287</v>
      </c>
      <c r="J51" s="7"/>
      <c r="K51" s="7" t="s">
        <v>514</v>
      </c>
      <c r="L51" s="7" t="s">
        <v>341</v>
      </c>
      <c r="M51" s="7" t="s">
        <v>290</v>
      </c>
      <c r="N51" s="7" t="s">
        <v>515</v>
      </c>
    </row>
    <row r="52" s="7" customFormat="1" customHeight="1" spans="1:14">
      <c r="A52" s="11" t="s">
        <v>516</v>
      </c>
      <c r="B52" s="7" t="s">
        <v>516</v>
      </c>
      <c r="C52" s="7" t="s">
        <v>516</v>
      </c>
      <c r="D52" s="7" t="s">
        <v>284</v>
      </c>
      <c r="E52" s="7"/>
      <c r="F52" s="97" t="s">
        <v>285</v>
      </c>
      <c r="G52" s="7"/>
      <c r="H52" s="7" t="s">
        <v>517</v>
      </c>
      <c r="I52" s="7" t="s">
        <v>287</v>
      </c>
      <c r="J52" s="7"/>
      <c r="K52" s="7" t="s">
        <v>518</v>
      </c>
      <c r="L52" s="7" t="s">
        <v>519</v>
      </c>
      <c r="M52" s="7" t="s">
        <v>290</v>
      </c>
      <c r="N52" s="7" t="s">
        <v>520</v>
      </c>
    </row>
    <row r="53" s="7" customFormat="1" customHeight="1" spans="1:14">
      <c r="A53" s="11" t="s">
        <v>521</v>
      </c>
      <c r="B53" s="7" t="s">
        <v>521</v>
      </c>
      <c r="C53" s="7" t="s">
        <v>521</v>
      </c>
      <c r="D53" s="7" t="s">
        <v>284</v>
      </c>
      <c r="E53" s="7"/>
      <c r="F53" s="97" t="s">
        <v>285</v>
      </c>
      <c r="G53" s="7"/>
      <c r="H53" s="7" t="s">
        <v>522</v>
      </c>
      <c r="I53" s="7" t="s">
        <v>523</v>
      </c>
      <c r="J53" s="7"/>
      <c r="K53" s="7" t="s">
        <v>524</v>
      </c>
      <c r="L53" s="7" t="s">
        <v>524</v>
      </c>
      <c r="M53" s="7" t="s">
        <v>290</v>
      </c>
      <c r="N53" s="7" t="s">
        <v>525</v>
      </c>
    </row>
    <row r="54" s="7" customFormat="1" customHeight="1" spans="1:14">
      <c r="A54" s="11" t="s">
        <v>526</v>
      </c>
      <c r="B54" s="7" t="s">
        <v>526</v>
      </c>
      <c r="C54" s="7" t="s">
        <v>526</v>
      </c>
      <c r="D54" s="7" t="s">
        <v>284</v>
      </c>
      <c r="E54" s="7"/>
      <c r="F54" s="97" t="s">
        <v>285</v>
      </c>
      <c r="G54" s="7"/>
      <c r="H54" s="7" t="s">
        <v>527</v>
      </c>
      <c r="I54" s="7" t="s">
        <v>287</v>
      </c>
      <c r="J54" s="7"/>
      <c r="K54" s="7" t="s">
        <v>528</v>
      </c>
      <c r="L54" s="7" t="s">
        <v>528</v>
      </c>
      <c r="M54" s="7" t="s">
        <v>290</v>
      </c>
      <c r="N54" s="7" t="s">
        <v>529</v>
      </c>
    </row>
    <row r="55" s="7" customFormat="1" customHeight="1" spans="1:14">
      <c r="A55" s="11" t="s">
        <v>530</v>
      </c>
      <c r="B55" s="7" t="s">
        <v>530</v>
      </c>
      <c r="C55" s="7" t="s">
        <v>530</v>
      </c>
      <c r="D55" s="7" t="s">
        <v>284</v>
      </c>
      <c r="E55" s="7"/>
      <c r="F55" s="97" t="s">
        <v>285</v>
      </c>
      <c r="G55" s="7"/>
      <c r="H55" s="7" t="s">
        <v>531</v>
      </c>
      <c r="I55" s="7" t="s">
        <v>287</v>
      </c>
      <c r="J55" s="7"/>
      <c r="K55" s="7" t="s">
        <v>532</v>
      </c>
      <c r="L55" s="7" t="s">
        <v>532</v>
      </c>
      <c r="M55" s="7" t="s">
        <v>290</v>
      </c>
      <c r="N55" s="7" t="s">
        <v>533</v>
      </c>
    </row>
    <row r="56" s="7" customFormat="1" customHeight="1" spans="1:14">
      <c r="A56" s="11" t="s">
        <v>534</v>
      </c>
      <c r="B56" s="7" t="s">
        <v>534</v>
      </c>
      <c r="C56" s="7" t="s">
        <v>534</v>
      </c>
      <c r="D56" s="7" t="s">
        <v>284</v>
      </c>
      <c r="E56" s="7"/>
      <c r="F56" s="97" t="s">
        <v>285</v>
      </c>
      <c r="G56" s="7"/>
      <c r="H56" s="7" t="s">
        <v>535</v>
      </c>
      <c r="I56" s="7" t="s">
        <v>287</v>
      </c>
      <c r="J56" s="7"/>
      <c r="K56" s="7" t="s">
        <v>289</v>
      </c>
      <c r="L56" s="7" t="s">
        <v>289</v>
      </c>
      <c r="M56" s="7" t="s">
        <v>290</v>
      </c>
      <c r="N56" s="7" t="s">
        <v>536</v>
      </c>
    </row>
    <row r="57" s="7" customFormat="1" customHeight="1" spans="1:14">
      <c r="A57" s="11" t="s">
        <v>537</v>
      </c>
      <c r="B57" s="7" t="s">
        <v>537</v>
      </c>
      <c r="C57" s="7" t="s">
        <v>537</v>
      </c>
      <c r="D57" s="7" t="s">
        <v>284</v>
      </c>
      <c r="E57" s="7"/>
      <c r="F57" s="97" t="s">
        <v>285</v>
      </c>
      <c r="G57" s="7"/>
      <c r="H57" s="7" t="s">
        <v>538</v>
      </c>
      <c r="I57" s="7" t="s">
        <v>287</v>
      </c>
      <c r="J57" s="7"/>
      <c r="K57" s="7" t="s">
        <v>341</v>
      </c>
      <c r="L57" s="7" t="s">
        <v>341</v>
      </c>
      <c r="M57" s="7" t="s">
        <v>290</v>
      </c>
      <c r="N57" s="7" t="s">
        <v>539</v>
      </c>
    </row>
    <row r="58" s="7" customFormat="1" customHeight="1" spans="1:14">
      <c r="A58" s="11" t="s">
        <v>540</v>
      </c>
      <c r="B58" s="7" t="s">
        <v>540</v>
      </c>
      <c r="C58" s="7" t="s">
        <v>540</v>
      </c>
      <c r="D58" s="7" t="s">
        <v>284</v>
      </c>
      <c r="E58" s="7"/>
      <c r="F58" s="97" t="s">
        <v>285</v>
      </c>
      <c r="G58" s="7"/>
      <c r="H58" s="7" t="s">
        <v>541</v>
      </c>
      <c r="I58" s="7" t="s">
        <v>287</v>
      </c>
      <c r="J58" s="7"/>
      <c r="K58" s="7" t="s">
        <v>542</v>
      </c>
      <c r="L58" s="7" t="s">
        <v>341</v>
      </c>
      <c r="M58" s="7" t="s">
        <v>290</v>
      </c>
      <c r="N58" s="7" t="s">
        <v>543</v>
      </c>
    </row>
    <row r="59" s="7" customFormat="1" customHeight="1" spans="1:14">
      <c r="A59" s="11" t="s">
        <v>544</v>
      </c>
      <c r="B59" s="7" t="s">
        <v>545</v>
      </c>
      <c r="C59" s="11" t="s">
        <v>544</v>
      </c>
      <c r="D59" s="7" t="s">
        <v>284</v>
      </c>
      <c r="E59" s="7"/>
      <c r="F59" s="97" t="s">
        <v>285</v>
      </c>
      <c r="G59" s="7"/>
      <c r="H59" s="7" t="s">
        <v>546</v>
      </c>
      <c r="I59" s="7" t="s">
        <v>287</v>
      </c>
      <c r="J59" s="7"/>
      <c r="K59" s="7" t="s">
        <v>350</v>
      </c>
      <c r="L59" s="7" t="s">
        <v>547</v>
      </c>
      <c r="M59" s="7" t="s">
        <v>290</v>
      </c>
      <c r="N59" s="7" t="s">
        <v>548</v>
      </c>
    </row>
    <row r="60" s="7" customFormat="1" customHeight="1" spans="1:14">
      <c r="A60" s="11" t="s">
        <v>549</v>
      </c>
      <c r="B60" s="7" t="s">
        <v>550</v>
      </c>
      <c r="C60" s="11" t="s">
        <v>549</v>
      </c>
      <c r="D60" s="7" t="s">
        <v>284</v>
      </c>
      <c r="E60" s="7"/>
      <c r="F60" s="97" t="s">
        <v>285</v>
      </c>
      <c r="G60" s="7"/>
      <c r="H60" s="7" t="s">
        <v>546</v>
      </c>
      <c r="I60" s="7" t="s">
        <v>287</v>
      </c>
      <c r="J60" s="7"/>
      <c r="K60" s="7" t="s">
        <v>350</v>
      </c>
      <c r="L60" s="7" t="s">
        <v>547</v>
      </c>
      <c r="M60" s="7" t="s">
        <v>290</v>
      </c>
      <c r="N60" s="7" t="s">
        <v>351</v>
      </c>
    </row>
    <row r="61" s="7" customFormat="1" customHeight="1" spans="1:14">
      <c r="A61" s="11" t="s">
        <v>551</v>
      </c>
      <c r="B61" s="7" t="s">
        <v>551</v>
      </c>
      <c r="C61" s="7" t="s">
        <v>551</v>
      </c>
      <c r="D61" s="7" t="s">
        <v>284</v>
      </c>
      <c r="E61" s="7"/>
      <c r="F61" s="97" t="s">
        <v>285</v>
      </c>
      <c r="G61" s="7"/>
      <c r="H61" s="7" t="s">
        <v>552</v>
      </c>
      <c r="I61" s="7" t="s">
        <v>287</v>
      </c>
      <c r="J61" s="7"/>
      <c r="K61" s="7" t="s">
        <v>553</v>
      </c>
      <c r="L61" s="7" t="s">
        <v>289</v>
      </c>
      <c r="M61" s="7" t="s">
        <v>290</v>
      </c>
      <c r="N61" s="7" t="s">
        <v>554</v>
      </c>
    </row>
    <row r="62" s="7" customFormat="1" customHeight="1" spans="1:14">
      <c r="A62" s="11" t="s">
        <v>555</v>
      </c>
      <c r="B62" s="7" t="s">
        <v>555</v>
      </c>
      <c r="C62" s="7" t="s">
        <v>555</v>
      </c>
      <c r="D62" s="7" t="s">
        <v>284</v>
      </c>
      <c r="E62" s="7"/>
      <c r="F62" s="97" t="s">
        <v>285</v>
      </c>
      <c r="G62" s="7"/>
      <c r="H62" s="7" t="s">
        <v>556</v>
      </c>
      <c r="I62" s="7" t="s">
        <v>557</v>
      </c>
      <c r="J62" s="7"/>
      <c r="K62" s="7" t="s">
        <v>558</v>
      </c>
      <c r="L62" s="7" t="s">
        <v>558</v>
      </c>
      <c r="M62" s="7" t="s">
        <v>290</v>
      </c>
      <c r="N62" s="7" t="s">
        <v>559</v>
      </c>
    </row>
    <row r="63" s="7" customFormat="1" customHeight="1" spans="1:14">
      <c r="A63" s="11" t="s">
        <v>560</v>
      </c>
      <c r="B63" s="7" t="s">
        <v>560</v>
      </c>
      <c r="C63" s="7" t="s">
        <v>560</v>
      </c>
      <c r="D63" s="7" t="s">
        <v>561</v>
      </c>
      <c r="E63" s="7"/>
      <c r="F63" s="97" t="s">
        <v>285</v>
      </c>
      <c r="G63" s="7"/>
      <c r="H63" s="7" t="s">
        <v>562</v>
      </c>
      <c r="I63" s="7" t="s">
        <v>287</v>
      </c>
      <c r="J63" s="7"/>
      <c r="K63" s="7" t="s">
        <v>528</v>
      </c>
      <c r="L63" s="7"/>
      <c r="M63" s="7" t="s">
        <v>290</v>
      </c>
      <c r="N63" s="7" t="s">
        <v>563</v>
      </c>
    </row>
    <row r="64" s="7" customFormat="1" customHeight="1" spans="1:14">
      <c r="A64" s="11" t="s">
        <v>564</v>
      </c>
      <c r="B64" s="7" t="s">
        <v>565</v>
      </c>
      <c r="C64" s="7" t="s">
        <v>565</v>
      </c>
      <c r="D64" s="7" t="s">
        <v>566</v>
      </c>
      <c r="E64" s="7"/>
      <c r="F64" s="97" t="s">
        <v>285</v>
      </c>
      <c r="G64" s="7"/>
      <c r="H64" s="7" t="s">
        <v>567</v>
      </c>
      <c r="I64" s="7" t="s">
        <v>287</v>
      </c>
      <c r="J64" s="7"/>
      <c r="K64" s="7" t="s">
        <v>568</v>
      </c>
      <c r="L64" s="7" t="s">
        <v>330</v>
      </c>
      <c r="M64" s="7" t="s">
        <v>290</v>
      </c>
      <c r="N64" s="7" t="s">
        <v>569</v>
      </c>
    </row>
    <row r="65" s="7" customFormat="1" customHeight="1" spans="1:14">
      <c r="A65" s="11" t="s">
        <v>570</v>
      </c>
      <c r="B65" s="7" t="s">
        <v>571</v>
      </c>
      <c r="C65" s="7" t="s">
        <v>571</v>
      </c>
      <c r="D65" s="7" t="s">
        <v>572</v>
      </c>
      <c r="E65" s="7"/>
      <c r="F65" s="97" t="s">
        <v>285</v>
      </c>
      <c r="G65" s="7"/>
      <c r="H65" s="7" t="s">
        <v>573</v>
      </c>
      <c r="I65" s="7" t="s">
        <v>574</v>
      </c>
      <c r="J65" s="7"/>
      <c r="K65" s="7" t="s">
        <v>575</v>
      </c>
      <c r="L65" s="7" t="s">
        <v>576</v>
      </c>
      <c r="M65" s="7" t="s">
        <v>290</v>
      </c>
      <c r="N65" s="7" t="s">
        <v>577</v>
      </c>
    </row>
    <row r="66" s="7" customFormat="1" customHeight="1" spans="1:14">
      <c r="A66" s="11" t="s">
        <v>578</v>
      </c>
      <c r="B66" s="7" t="s">
        <v>579</v>
      </c>
      <c r="C66" s="7" t="s">
        <v>579</v>
      </c>
      <c r="D66" s="7" t="s">
        <v>580</v>
      </c>
      <c r="E66" s="7"/>
      <c r="F66" s="97" t="s">
        <v>285</v>
      </c>
      <c r="G66" s="7"/>
      <c r="H66" s="7" t="s">
        <v>581</v>
      </c>
      <c r="I66" s="7" t="s">
        <v>582</v>
      </c>
      <c r="J66" s="7"/>
      <c r="K66" s="7" t="s">
        <v>438</v>
      </c>
      <c r="L66" s="7" t="s">
        <v>576</v>
      </c>
      <c r="M66" s="7" t="s">
        <v>290</v>
      </c>
      <c r="N66" s="7" t="s">
        <v>439</v>
      </c>
    </row>
    <row r="67" s="7" customFormat="1" customHeight="1" spans="1:14">
      <c r="A67" s="11" t="s">
        <v>583</v>
      </c>
      <c r="B67" s="7" t="s">
        <v>584</v>
      </c>
      <c r="C67" s="7" t="s">
        <v>584</v>
      </c>
      <c r="D67" s="7" t="s">
        <v>580</v>
      </c>
      <c r="E67" s="7"/>
      <c r="F67" s="97" t="s">
        <v>285</v>
      </c>
      <c r="G67" s="7"/>
      <c r="H67" s="7" t="s">
        <v>585</v>
      </c>
      <c r="I67" s="7" t="s">
        <v>586</v>
      </c>
      <c r="J67" s="7"/>
      <c r="K67" s="7" t="s">
        <v>482</v>
      </c>
      <c r="L67" s="7"/>
      <c r="M67" s="7" t="s">
        <v>290</v>
      </c>
      <c r="N67" s="7" t="s">
        <v>587</v>
      </c>
    </row>
    <row r="68" s="7" customFormat="1" customHeight="1" spans="1:14">
      <c r="A68" s="11" t="s">
        <v>588</v>
      </c>
      <c r="B68" s="7" t="s">
        <v>589</v>
      </c>
      <c r="C68" s="7" t="s">
        <v>589</v>
      </c>
      <c r="D68" s="7" t="s">
        <v>580</v>
      </c>
      <c r="E68" s="7"/>
      <c r="F68" s="97" t="s">
        <v>285</v>
      </c>
      <c r="G68" s="7"/>
      <c r="H68" s="7" t="s">
        <v>590</v>
      </c>
      <c r="I68" s="7" t="s">
        <v>591</v>
      </c>
      <c r="J68" s="7"/>
      <c r="K68" s="7" t="s">
        <v>389</v>
      </c>
      <c r="L68" s="7"/>
      <c r="M68" s="7" t="s">
        <v>290</v>
      </c>
      <c r="N68" s="7" t="s">
        <v>592</v>
      </c>
    </row>
    <row r="69" s="7" customFormat="1" customHeight="1" spans="1:14">
      <c r="A69" s="11" t="s">
        <v>593</v>
      </c>
      <c r="B69" s="7" t="s">
        <v>594</v>
      </c>
      <c r="C69" s="7" t="s">
        <v>594</v>
      </c>
      <c r="D69" s="7" t="s">
        <v>595</v>
      </c>
      <c r="E69" s="7"/>
      <c r="F69" s="97" t="s">
        <v>285</v>
      </c>
      <c r="G69" s="7"/>
      <c r="H69" s="7" t="s">
        <v>596</v>
      </c>
      <c r="I69" s="7" t="s">
        <v>597</v>
      </c>
      <c r="J69" s="7"/>
      <c r="K69" s="7" t="s">
        <v>598</v>
      </c>
      <c r="L69" s="7" t="s">
        <v>354</v>
      </c>
      <c r="M69" s="7" t="s">
        <v>290</v>
      </c>
      <c r="N69" s="7" t="s">
        <v>599</v>
      </c>
    </row>
    <row r="70" s="7" customFormat="1" customHeight="1" spans="1:14">
      <c r="A70" s="11" t="s">
        <v>600</v>
      </c>
      <c r="B70" s="7" t="s">
        <v>601</v>
      </c>
      <c r="C70" s="7" t="s">
        <v>601</v>
      </c>
      <c r="D70" s="7" t="s">
        <v>595</v>
      </c>
      <c r="E70" s="7"/>
      <c r="F70" s="97" t="s">
        <v>285</v>
      </c>
      <c r="G70" s="7"/>
      <c r="H70" s="7" t="s">
        <v>602</v>
      </c>
      <c r="I70" s="7" t="s">
        <v>603</v>
      </c>
      <c r="J70" s="7"/>
      <c r="K70" s="7" t="s">
        <v>482</v>
      </c>
      <c r="L70" s="7"/>
      <c r="M70" s="7" t="s">
        <v>290</v>
      </c>
      <c r="N70" s="7" t="s">
        <v>604</v>
      </c>
    </row>
    <row r="71" s="7" customFormat="1" customHeight="1" spans="1:14">
      <c r="A71" s="11" t="s">
        <v>605</v>
      </c>
      <c r="B71" s="7" t="s">
        <v>606</v>
      </c>
      <c r="C71" s="7" t="s">
        <v>606</v>
      </c>
      <c r="D71" s="7" t="s">
        <v>595</v>
      </c>
      <c r="E71" s="7"/>
      <c r="F71" s="97" t="s">
        <v>285</v>
      </c>
      <c r="G71" s="7"/>
      <c r="H71" s="7" t="s">
        <v>607</v>
      </c>
      <c r="I71" s="7" t="s">
        <v>608</v>
      </c>
      <c r="J71" s="7"/>
      <c r="K71" s="7" t="s">
        <v>389</v>
      </c>
      <c r="L71" s="7"/>
      <c r="M71" s="7" t="s">
        <v>290</v>
      </c>
      <c r="N71" s="7" t="s">
        <v>609</v>
      </c>
    </row>
    <row r="72" s="8" customFormat="1" customHeight="1" spans="1:14">
      <c r="A72" s="11" t="s">
        <v>610</v>
      </c>
      <c r="B72" s="7" t="s">
        <v>611</v>
      </c>
      <c r="C72" s="11" t="s">
        <v>610</v>
      </c>
      <c r="D72" s="7" t="s">
        <v>611</v>
      </c>
      <c r="E72" s="7"/>
      <c r="F72" s="97" t="s">
        <v>285</v>
      </c>
      <c r="G72" s="7"/>
      <c r="H72" s="7" t="s">
        <v>612</v>
      </c>
      <c r="I72" s="7" t="s">
        <v>613</v>
      </c>
      <c r="J72" s="7"/>
      <c r="K72" s="8" t="s">
        <v>614</v>
      </c>
      <c r="L72" s="7" t="s">
        <v>384</v>
      </c>
      <c r="M72" s="7" t="s">
        <v>290</v>
      </c>
      <c r="N72" s="7" t="s">
        <v>615</v>
      </c>
    </row>
    <row r="73" s="7" customFormat="1" customHeight="1" spans="1:14">
      <c r="A73" s="15" t="s">
        <v>616</v>
      </c>
      <c r="B73" s="16" t="s">
        <v>617</v>
      </c>
      <c r="C73" s="15" t="s">
        <v>616</v>
      </c>
      <c r="D73" s="15" t="s">
        <v>616</v>
      </c>
      <c r="F73" s="97" t="s">
        <v>285</v>
      </c>
      <c r="H73" s="7" t="s">
        <v>618</v>
      </c>
      <c r="I73" s="7" t="s">
        <v>287</v>
      </c>
      <c r="K73" s="7" t="s">
        <v>414</v>
      </c>
      <c r="M73" s="7" t="s">
        <v>290</v>
      </c>
      <c r="N73" s="7" t="s">
        <v>619</v>
      </c>
    </row>
    <row r="74" s="7" customFormat="1" customHeight="1" spans="1:14">
      <c r="A74" s="15" t="s">
        <v>620</v>
      </c>
      <c r="B74" s="7" t="s">
        <v>621</v>
      </c>
      <c r="C74" s="7" t="s">
        <v>621</v>
      </c>
      <c r="D74" s="15" t="s">
        <v>622</v>
      </c>
      <c r="F74" s="97" t="s">
        <v>285</v>
      </c>
      <c r="H74" s="7" t="s">
        <v>623</v>
      </c>
      <c r="I74" s="7" t="s">
        <v>624</v>
      </c>
      <c r="K74" s="7" t="s">
        <v>625</v>
      </c>
      <c r="L74" s="7" t="s">
        <v>336</v>
      </c>
      <c r="M74" s="7" t="s">
        <v>290</v>
      </c>
      <c r="N74" s="7" t="s">
        <v>626</v>
      </c>
    </row>
    <row r="75" s="7" customFormat="1" customHeight="1" spans="1:14">
      <c r="A75" s="15" t="s">
        <v>627</v>
      </c>
      <c r="B75" s="7" t="s">
        <v>628</v>
      </c>
      <c r="C75" s="7" t="s">
        <v>628</v>
      </c>
      <c r="D75" s="15" t="s">
        <v>628</v>
      </c>
      <c r="F75" s="97" t="s">
        <v>629</v>
      </c>
      <c r="H75" s="7" t="s">
        <v>630</v>
      </c>
      <c r="I75" s="7" t="s">
        <v>631</v>
      </c>
      <c r="K75" s="7" t="s">
        <v>632</v>
      </c>
      <c r="M75" s="7" t="s">
        <v>290</v>
      </c>
      <c r="N75" s="7" t="s">
        <v>633</v>
      </c>
    </row>
    <row r="76" s="9" customFormat="1" customHeight="1" spans="1:14">
      <c r="A76" s="17" t="s">
        <v>634</v>
      </c>
      <c r="B76" s="9" t="s">
        <v>634</v>
      </c>
      <c r="C76" s="9" t="s">
        <v>634</v>
      </c>
      <c r="D76" s="9" t="s">
        <v>635</v>
      </c>
      <c r="F76" s="97" t="s">
        <v>285</v>
      </c>
      <c r="H76" s="9" t="s">
        <v>636</v>
      </c>
      <c r="I76" s="7" t="s">
        <v>287</v>
      </c>
      <c r="K76" s="9" t="s">
        <v>637</v>
      </c>
      <c r="L76" s="9" t="s">
        <v>638</v>
      </c>
      <c r="M76" s="9" t="s">
        <v>639</v>
      </c>
      <c r="N76" s="9" t="s">
        <v>640</v>
      </c>
    </row>
    <row r="77" s="7" customFormat="1" customHeight="1" spans="1:14">
      <c r="A77" s="11" t="s">
        <v>641</v>
      </c>
      <c r="B77" s="7" t="s">
        <v>641</v>
      </c>
      <c r="C77" s="7" t="s">
        <v>641</v>
      </c>
      <c r="D77" s="7" t="s">
        <v>635</v>
      </c>
      <c r="F77" s="97" t="s">
        <v>285</v>
      </c>
      <c r="H77" s="7" t="s">
        <v>642</v>
      </c>
      <c r="I77" s="7" t="s">
        <v>287</v>
      </c>
      <c r="K77" s="7" t="s">
        <v>643</v>
      </c>
      <c r="L77" s="7" t="s">
        <v>638</v>
      </c>
      <c r="M77" s="7" t="s">
        <v>639</v>
      </c>
      <c r="N77" s="7" t="s">
        <v>644</v>
      </c>
    </row>
    <row r="78" s="7" customFormat="1" customHeight="1" spans="1:14">
      <c r="A78" s="11" t="s">
        <v>645</v>
      </c>
      <c r="B78" s="7" t="s">
        <v>645</v>
      </c>
      <c r="C78" s="7" t="s">
        <v>645</v>
      </c>
      <c r="D78" s="7" t="s">
        <v>635</v>
      </c>
      <c r="F78" s="97" t="s">
        <v>285</v>
      </c>
      <c r="H78" s="7" t="s">
        <v>646</v>
      </c>
      <c r="I78" s="7" t="s">
        <v>287</v>
      </c>
      <c r="K78" s="7" t="s">
        <v>647</v>
      </c>
      <c r="L78" s="7" t="s">
        <v>638</v>
      </c>
      <c r="M78" s="7" t="s">
        <v>639</v>
      </c>
      <c r="N78" s="7" t="s">
        <v>648</v>
      </c>
    </row>
    <row r="79" s="7" customFormat="1" customHeight="1" spans="1:14">
      <c r="A79" s="11" t="s">
        <v>649</v>
      </c>
      <c r="B79" s="7" t="s">
        <v>649</v>
      </c>
      <c r="C79" s="7" t="s">
        <v>649</v>
      </c>
      <c r="D79" s="7" t="s">
        <v>635</v>
      </c>
      <c r="F79" s="97" t="s">
        <v>285</v>
      </c>
      <c r="H79" s="7" t="s">
        <v>650</v>
      </c>
      <c r="I79" s="7" t="s">
        <v>287</v>
      </c>
      <c r="K79" s="7" t="s">
        <v>647</v>
      </c>
      <c r="L79" s="7" t="s">
        <v>638</v>
      </c>
      <c r="M79" s="7" t="s">
        <v>639</v>
      </c>
      <c r="N79" s="7" t="s">
        <v>651</v>
      </c>
    </row>
    <row r="80" s="7" customFormat="1" customHeight="1" spans="1:14">
      <c r="A80" s="11" t="s">
        <v>652</v>
      </c>
      <c r="B80" s="7" t="s">
        <v>652</v>
      </c>
      <c r="C80" s="7" t="s">
        <v>652</v>
      </c>
      <c r="D80" s="7" t="s">
        <v>635</v>
      </c>
      <c r="F80" s="97" t="s">
        <v>285</v>
      </c>
      <c r="H80" s="7" t="s">
        <v>653</v>
      </c>
      <c r="I80" s="7" t="s">
        <v>287</v>
      </c>
      <c r="K80" s="7" t="s">
        <v>654</v>
      </c>
      <c r="L80" s="7" t="s">
        <v>638</v>
      </c>
      <c r="M80" s="7" t="s">
        <v>639</v>
      </c>
      <c r="N80" s="7" t="s">
        <v>655</v>
      </c>
    </row>
    <row r="81" s="7" customFormat="1" customHeight="1" spans="1:14">
      <c r="A81" s="11" t="s">
        <v>656</v>
      </c>
      <c r="B81" s="7" t="s">
        <v>656</v>
      </c>
      <c r="C81" s="7" t="s">
        <v>656</v>
      </c>
      <c r="D81" s="7" t="s">
        <v>635</v>
      </c>
      <c r="F81" s="97" t="s">
        <v>285</v>
      </c>
      <c r="H81" s="7" t="s">
        <v>657</v>
      </c>
      <c r="I81" s="7" t="s">
        <v>287</v>
      </c>
      <c r="K81" s="7" t="s">
        <v>658</v>
      </c>
      <c r="L81" s="7" t="s">
        <v>638</v>
      </c>
      <c r="M81" s="7" t="s">
        <v>639</v>
      </c>
      <c r="N81" s="7" t="s">
        <v>659</v>
      </c>
    </row>
    <row r="82" s="7" customFormat="1" customHeight="1" spans="1:14">
      <c r="A82" s="11" t="s">
        <v>660</v>
      </c>
      <c r="B82" s="7" t="s">
        <v>660</v>
      </c>
      <c r="C82" s="7" t="s">
        <v>660</v>
      </c>
      <c r="D82" s="7" t="s">
        <v>635</v>
      </c>
      <c r="F82" s="97" t="s">
        <v>285</v>
      </c>
      <c r="H82" s="7" t="s">
        <v>661</v>
      </c>
      <c r="I82" s="7" t="s">
        <v>287</v>
      </c>
      <c r="K82" s="7" t="s">
        <v>662</v>
      </c>
      <c r="L82" s="7" t="s">
        <v>663</v>
      </c>
      <c r="M82" s="7" t="s">
        <v>639</v>
      </c>
      <c r="N82" s="7" t="s">
        <v>664</v>
      </c>
    </row>
    <row r="83" s="7" customFormat="1" customHeight="1" spans="1:14">
      <c r="A83" s="11" t="s">
        <v>5</v>
      </c>
      <c r="B83" s="7" t="s">
        <v>5</v>
      </c>
      <c r="C83" s="7" t="s">
        <v>5</v>
      </c>
      <c r="D83" s="7" t="s">
        <v>635</v>
      </c>
      <c r="F83" s="97" t="s">
        <v>285</v>
      </c>
      <c r="H83" s="7" t="s">
        <v>665</v>
      </c>
      <c r="I83" s="7" t="s">
        <v>287</v>
      </c>
      <c r="K83" s="7" t="s">
        <v>666</v>
      </c>
      <c r="L83" s="7" t="s">
        <v>663</v>
      </c>
      <c r="M83" s="7" t="s">
        <v>639</v>
      </c>
      <c r="N83" s="7" t="s">
        <v>667</v>
      </c>
    </row>
    <row r="84" s="7" customFormat="1" customHeight="1" spans="1:14">
      <c r="A84" s="11" t="s">
        <v>668</v>
      </c>
      <c r="B84" s="7" t="s">
        <v>668</v>
      </c>
      <c r="C84" s="7" t="s">
        <v>668</v>
      </c>
      <c r="D84" s="7" t="s">
        <v>635</v>
      </c>
      <c r="F84" s="97" t="s">
        <v>285</v>
      </c>
      <c r="H84" s="7" t="s">
        <v>669</v>
      </c>
      <c r="I84" s="7" t="s">
        <v>287</v>
      </c>
      <c r="K84" s="7" t="s">
        <v>662</v>
      </c>
      <c r="L84" s="7" t="s">
        <v>663</v>
      </c>
      <c r="M84" s="7" t="s">
        <v>639</v>
      </c>
      <c r="N84" s="7" t="s">
        <v>670</v>
      </c>
    </row>
    <row r="85" s="7" customFormat="1" customHeight="1" spans="1:14">
      <c r="A85" s="11" t="s">
        <v>671</v>
      </c>
      <c r="B85" s="7" t="s">
        <v>671</v>
      </c>
      <c r="C85" s="7" t="s">
        <v>671</v>
      </c>
      <c r="D85" s="7" t="s">
        <v>635</v>
      </c>
      <c r="F85" s="97" t="s">
        <v>285</v>
      </c>
      <c r="H85" s="7" t="s">
        <v>672</v>
      </c>
      <c r="I85" s="7" t="s">
        <v>287</v>
      </c>
      <c r="K85" s="7" t="s">
        <v>673</v>
      </c>
      <c r="L85" s="7" t="s">
        <v>674</v>
      </c>
      <c r="M85" s="7" t="s">
        <v>639</v>
      </c>
      <c r="N85" s="7" t="s">
        <v>675</v>
      </c>
    </row>
    <row r="86" s="7" customFormat="1" customHeight="1" spans="1:14">
      <c r="A86" s="11" t="s">
        <v>676</v>
      </c>
      <c r="B86" s="7" t="s">
        <v>676</v>
      </c>
      <c r="C86" s="7" t="s">
        <v>676</v>
      </c>
      <c r="D86" s="7" t="s">
        <v>635</v>
      </c>
      <c r="F86" s="97" t="s">
        <v>285</v>
      </c>
      <c r="H86" s="7" t="s">
        <v>677</v>
      </c>
      <c r="I86" s="7" t="s">
        <v>287</v>
      </c>
      <c r="K86" s="7" t="s">
        <v>678</v>
      </c>
      <c r="L86" s="7" t="s">
        <v>638</v>
      </c>
      <c r="M86" s="7" t="s">
        <v>639</v>
      </c>
      <c r="N86" s="7" t="s">
        <v>679</v>
      </c>
    </row>
    <row r="87" s="7" customFormat="1" customHeight="1" spans="1:14">
      <c r="A87" s="11" t="s">
        <v>680</v>
      </c>
      <c r="B87" s="7" t="s">
        <v>680</v>
      </c>
      <c r="C87" s="7" t="s">
        <v>680</v>
      </c>
      <c r="D87" s="7" t="s">
        <v>635</v>
      </c>
      <c r="F87" s="97" t="s">
        <v>285</v>
      </c>
      <c r="H87" s="7" t="s">
        <v>681</v>
      </c>
      <c r="I87" s="7" t="s">
        <v>287</v>
      </c>
      <c r="K87" s="7" t="s">
        <v>682</v>
      </c>
      <c r="L87" s="7" t="s">
        <v>674</v>
      </c>
      <c r="M87" s="7" t="s">
        <v>639</v>
      </c>
      <c r="N87" s="7" t="s">
        <v>683</v>
      </c>
    </row>
    <row r="88" s="7" customFormat="1" customHeight="1" spans="1:14">
      <c r="A88" s="11" t="s">
        <v>684</v>
      </c>
      <c r="B88" s="7" t="s">
        <v>684</v>
      </c>
      <c r="C88" s="7" t="s">
        <v>684</v>
      </c>
      <c r="D88" s="7" t="s">
        <v>635</v>
      </c>
      <c r="F88" s="97" t="s">
        <v>285</v>
      </c>
      <c r="H88" s="7" t="s">
        <v>685</v>
      </c>
      <c r="I88" s="7" t="s">
        <v>287</v>
      </c>
      <c r="K88" s="7" t="s">
        <v>686</v>
      </c>
      <c r="L88" s="7" t="s">
        <v>674</v>
      </c>
      <c r="M88" s="7" t="s">
        <v>639</v>
      </c>
      <c r="N88" s="7" t="s">
        <v>687</v>
      </c>
    </row>
    <row r="89" s="7" customFormat="1" customHeight="1" spans="1:14">
      <c r="A89" s="11" t="s">
        <v>688</v>
      </c>
      <c r="B89" s="7" t="s">
        <v>688</v>
      </c>
      <c r="C89" s="7" t="s">
        <v>688</v>
      </c>
      <c r="D89" s="7" t="s">
        <v>635</v>
      </c>
      <c r="F89" s="97" t="s">
        <v>285</v>
      </c>
      <c r="H89" s="7" t="s">
        <v>689</v>
      </c>
      <c r="I89" s="7" t="s">
        <v>287</v>
      </c>
      <c r="K89" s="7" t="s">
        <v>690</v>
      </c>
      <c r="L89" s="7" t="s">
        <v>674</v>
      </c>
      <c r="M89" s="7" t="s">
        <v>639</v>
      </c>
      <c r="N89" s="7" t="s">
        <v>691</v>
      </c>
    </row>
    <row r="90" s="7" customFormat="1" customHeight="1" spans="1:14">
      <c r="A90" s="11" t="s">
        <v>692</v>
      </c>
      <c r="B90" s="7" t="s">
        <v>692</v>
      </c>
      <c r="C90" s="7" t="s">
        <v>692</v>
      </c>
      <c r="D90" s="7" t="s">
        <v>635</v>
      </c>
      <c r="F90" s="97" t="s">
        <v>285</v>
      </c>
      <c r="H90" s="7" t="s">
        <v>689</v>
      </c>
      <c r="I90" s="7" t="s">
        <v>287</v>
      </c>
      <c r="K90" s="7" t="s">
        <v>693</v>
      </c>
      <c r="L90" s="7" t="s">
        <v>674</v>
      </c>
      <c r="M90" s="7" t="s">
        <v>639</v>
      </c>
      <c r="N90" s="7" t="s">
        <v>691</v>
      </c>
    </row>
    <row r="91" s="7" customFormat="1" customHeight="1" spans="1:14">
      <c r="A91" s="11" t="s">
        <v>694</v>
      </c>
      <c r="B91" s="7" t="s">
        <v>694</v>
      </c>
      <c r="C91" s="7" t="s">
        <v>694</v>
      </c>
      <c r="D91" s="7" t="s">
        <v>635</v>
      </c>
      <c r="F91" s="97" t="s">
        <v>285</v>
      </c>
      <c r="H91" s="7" t="s">
        <v>695</v>
      </c>
      <c r="I91" s="7" t="s">
        <v>287</v>
      </c>
      <c r="K91" s="7" t="s">
        <v>696</v>
      </c>
      <c r="L91" s="7" t="s">
        <v>697</v>
      </c>
      <c r="M91" s="7" t="s">
        <v>639</v>
      </c>
      <c r="N91" s="7" t="s">
        <v>698</v>
      </c>
    </row>
    <row r="92" s="7" customFormat="1" customHeight="1" spans="1:14">
      <c r="A92" s="11" t="s">
        <v>699</v>
      </c>
      <c r="B92" s="7" t="s">
        <v>699</v>
      </c>
      <c r="C92" s="7" t="s">
        <v>699</v>
      </c>
      <c r="D92" s="7" t="s">
        <v>635</v>
      </c>
      <c r="F92" s="97" t="s">
        <v>285</v>
      </c>
      <c r="H92" s="7" t="s">
        <v>700</v>
      </c>
      <c r="I92" s="7" t="s">
        <v>287</v>
      </c>
      <c r="K92" s="7" t="s">
        <v>701</v>
      </c>
      <c r="L92" s="7" t="s">
        <v>638</v>
      </c>
      <c r="M92" s="7" t="s">
        <v>639</v>
      </c>
      <c r="N92" s="7" t="s">
        <v>702</v>
      </c>
    </row>
    <row r="93" s="7" customFormat="1" customHeight="1" spans="1:14">
      <c r="A93" s="11" t="s">
        <v>703</v>
      </c>
      <c r="B93" s="7" t="s">
        <v>703</v>
      </c>
      <c r="C93" s="7" t="s">
        <v>703</v>
      </c>
      <c r="D93" s="7" t="s">
        <v>635</v>
      </c>
      <c r="F93" s="97" t="s">
        <v>285</v>
      </c>
      <c r="H93" s="7" t="s">
        <v>704</v>
      </c>
      <c r="I93" s="7" t="s">
        <v>287</v>
      </c>
      <c r="K93" s="7" t="s">
        <v>705</v>
      </c>
      <c r="L93" s="7" t="s">
        <v>638</v>
      </c>
      <c r="M93" s="7" t="s">
        <v>639</v>
      </c>
      <c r="N93" s="7" t="s">
        <v>706</v>
      </c>
    </row>
    <row r="94" s="7" customFormat="1" customHeight="1" spans="1:14">
      <c r="A94" s="11" t="s">
        <v>707</v>
      </c>
      <c r="B94" s="7" t="s">
        <v>707</v>
      </c>
      <c r="C94" s="7" t="s">
        <v>707</v>
      </c>
      <c r="D94" s="7" t="s">
        <v>635</v>
      </c>
      <c r="F94" s="97" t="s">
        <v>285</v>
      </c>
      <c r="H94" s="7" t="s">
        <v>708</v>
      </c>
      <c r="I94" s="7" t="s">
        <v>287</v>
      </c>
      <c r="K94" s="7" t="s">
        <v>709</v>
      </c>
      <c r="L94" s="7" t="s">
        <v>638</v>
      </c>
      <c r="M94" s="7" t="s">
        <v>639</v>
      </c>
      <c r="N94" s="7" t="s">
        <v>710</v>
      </c>
    </row>
    <row r="95" s="7" customFormat="1" customHeight="1" spans="1:14">
      <c r="A95" s="11" t="s">
        <v>711</v>
      </c>
      <c r="B95" s="7" t="s">
        <v>711</v>
      </c>
      <c r="C95" s="7" t="s">
        <v>711</v>
      </c>
      <c r="D95" s="7" t="s">
        <v>635</v>
      </c>
      <c r="F95" s="97" t="s">
        <v>285</v>
      </c>
      <c r="H95" s="7" t="s">
        <v>712</v>
      </c>
      <c r="I95" s="7" t="s">
        <v>287</v>
      </c>
      <c r="K95" s="7" t="s">
        <v>713</v>
      </c>
      <c r="L95" s="7" t="s">
        <v>638</v>
      </c>
      <c r="M95" s="7" t="s">
        <v>639</v>
      </c>
      <c r="N95" s="7" t="s">
        <v>714</v>
      </c>
    </row>
    <row r="96" s="7" customFormat="1" customHeight="1" spans="1:14">
      <c r="A96" s="11" t="s">
        <v>715</v>
      </c>
      <c r="B96" s="7" t="s">
        <v>715</v>
      </c>
      <c r="C96" s="7" t="s">
        <v>715</v>
      </c>
      <c r="D96" s="7" t="s">
        <v>635</v>
      </c>
      <c r="F96" s="97" t="s">
        <v>285</v>
      </c>
      <c r="H96" s="7" t="s">
        <v>716</v>
      </c>
      <c r="I96" s="7" t="s">
        <v>287</v>
      </c>
      <c r="K96" s="7" t="s">
        <v>717</v>
      </c>
      <c r="L96" s="7" t="s">
        <v>638</v>
      </c>
      <c r="M96" s="7" t="s">
        <v>639</v>
      </c>
      <c r="N96" s="7" t="s">
        <v>718</v>
      </c>
    </row>
    <row r="97" s="7" customFormat="1" customHeight="1" spans="1:14">
      <c r="A97" s="11" t="s">
        <v>719</v>
      </c>
      <c r="B97" s="7" t="s">
        <v>719</v>
      </c>
      <c r="C97" s="7" t="s">
        <v>719</v>
      </c>
      <c r="D97" s="7" t="s">
        <v>635</v>
      </c>
      <c r="F97" s="97" t="s">
        <v>285</v>
      </c>
      <c r="H97" s="7" t="s">
        <v>720</v>
      </c>
      <c r="I97" s="7" t="s">
        <v>287</v>
      </c>
      <c r="K97" s="7" t="s">
        <v>721</v>
      </c>
      <c r="L97" s="7" t="s">
        <v>663</v>
      </c>
      <c r="M97" s="7" t="s">
        <v>639</v>
      </c>
      <c r="N97" s="7" t="s">
        <v>722</v>
      </c>
    </row>
    <row r="98" s="7" customFormat="1" customHeight="1" spans="1:14">
      <c r="A98" s="11" t="s">
        <v>723</v>
      </c>
      <c r="B98" s="7" t="s">
        <v>723</v>
      </c>
      <c r="C98" s="7" t="s">
        <v>723</v>
      </c>
      <c r="D98" s="7" t="s">
        <v>635</v>
      </c>
      <c r="F98" s="97" t="s">
        <v>285</v>
      </c>
      <c r="H98" s="7" t="s">
        <v>724</v>
      </c>
      <c r="I98" s="7" t="s">
        <v>287</v>
      </c>
      <c r="K98" s="7" t="s">
        <v>725</v>
      </c>
      <c r="L98" s="7" t="s">
        <v>663</v>
      </c>
      <c r="M98" s="7" t="s">
        <v>639</v>
      </c>
      <c r="N98" s="7" t="s">
        <v>726</v>
      </c>
    </row>
    <row r="99" s="7" customFormat="1" customHeight="1" spans="1:14">
      <c r="A99" s="11" t="s">
        <v>727</v>
      </c>
      <c r="B99" s="7" t="s">
        <v>727</v>
      </c>
      <c r="C99" s="7" t="s">
        <v>727</v>
      </c>
      <c r="D99" s="7" t="s">
        <v>635</v>
      </c>
      <c r="F99" s="97" t="s">
        <v>285</v>
      </c>
      <c r="H99" s="7" t="s">
        <v>728</v>
      </c>
      <c r="I99" s="7" t="s">
        <v>287</v>
      </c>
      <c r="K99" s="7" t="s">
        <v>729</v>
      </c>
      <c r="L99" s="7" t="s">
        <v>663</v>
      </c>
      <c r="M99" s="7" t="s">
        <v>639</v>
      </c>
      <c r="N99" s="7" t="s">
        <v>730</v>
      </c>
    </row>
    <row r="100" s="7" customFormat="1" customHeight="1" spans="1:14">
      <c r="A100" s="11" t="s">
        <v>731</v>
      </c>
      <c r="B100" s="7" t="s">
        <v>731</v>
      </c>
      <c r="C100" s="7" t="s">
        <v>731</v>
      </c>
      <c r="D100" s="7" t="s">
        <v>635</v>
      </c>
      <c r="F100" s="97" t="s">
        <v>285</v>
      </c>
      <c r="H100" s="7" t="s">
        <v>732</v>
      </c>
      <c r="I100" s="7" t="s">
        <v>287</v>
      </c>
      <c r="K100" s="7" t="s">
        <v>709</v>
      </c>
      <c r="L100" s="7" t="s">
        <v>638</v>
      </c>
      <c r="M100" s="7" t="s">
        <v>639</v>
      </c>
      <c r="N100" s="7" t="s">
        <v>733</v>
      </c>
    </row>
    <row r="101" s="7" customFormat="1" customHeight="1" spans="1:14">
      <c r="A101" s="11" t="s">
        <v>734</v>
      </c>
      <c r="B101" s="7" t="s">
        <v>734</v>
      </c>
      <c r="C101" s="7" t="s">
        <v>734</v>
      </c>
      <c r="D101" s="10" t="s">
        <v>561</v>
      </c>
      <c r="F101" s="97" t="s">
        <v>285</v>
      </c>
      <c r="H101" s="7" t="s">
        <v>735</v>
      </c>
      <c r="I101" s="7" t="s">
        <v>287</v>
      </c>
      <c r="K101" s="7" t="s">
        <v>654</v>
      </c>
      <c r="L101" s="7" t="s">
        <v>638</v>
      </c>
      <c r="M101" s="7" t="s">
        <v>639</v>
      </c>
      <c r="N101" s="7" t="s">
        <v>736</v>
      </c>
    </row>
    <row r="102" s="9" customFormat="1" customHeight="1" spans="1:14">
      <c r="A102" s="18" t="s">
        <v>737</v>
      </c>
      <c r="B102" s="19" t="s">
        <v>737</v>
      </c>
      <c r="C102" s="19" t="s">
        <v>737</v>
      </c>
      <c r="D102" s="20" t="s">
        <v>561</v>
      </c>
      <c r="F102" s="97" t="s">
        <v>285</v>
      </c>
      <c r="H102" s="19" t="s">
        <v>738</v>
      </c>
      <c r="I102" s="7" t="s">
        <v>287</v>
      </c>
      <c r="K102" s="19" t="s">
        <v>739</v>
      </c>
      <c r="L102" s="19" t="s">
        <v>740</v>
      </c>
      <c r="M102" s="20" t="s">
        <v>741</v>
      </c>
      <c r="N102" s="19">
        <v>28830</v>
      </c>
    </row>
    <row r="103" s="7" customFormat="1" customHeight="1" spans="1:14">
      <c r="A103" s="21" t="s">
        <v>742</v>
      </c>
      <c r="B103" s="22" t="s">
        <v>742</v>
      </c>
      <c r="C103" s="22" t="s">
        <v>742</v>
      </c>
      <c r="D103" s="23" t="s">
        <v>561</v>
      </c>
      <c r="F103" s="97" t="s">
        <v>285</v>
      </c>
      <c r="H103" s="22" t="s">
        <v>743</v>
      </c>
      <c r="I103" s="7" t="s">
        <v>287</v>
      </c>
      <c r="K103" s="22" t="s">
        <v>744</v>
      </c>
      <c r="L103" s="22" t="s">
        <v>745</v>
      </c>
      <c r="M103" s="23" t="s">
        <v>741</v>
      </c>
      <c r="N103" s="22">
        <v>19208</v>
      </c>
    </row>
    <row r="104" s="7" customFormat="1" customHeight="1" spans="1:14">
      <c r="A104" s="21" t="s">
        <v>746</v>
      </c>
      <c r="B104" s="22" t="s">
        <v>746</v>
      </c>
      <c r="C104" s="22" t="s">
        <v>746</v>
      </c>
      <c r="D104" s="23" t="s">
        <v>561</v>
      </c>
      <c r="F104" s="97" t="s">
        <v>285</v>
      </c>
      <c r="H104" s="22" t="s">
        <v>747</v>
      </c>
      <c r="I104" s="7" t="s">
        <v>287</v>
      </c>
      <c r="K104" s="22" t="s">
        <v>745</v>
      </c>
      <c r="L104" s="22" t="s">
        <v>744</v>
      </c>
      <c r="M104" s="23" t="s">
        <v>741</v>
      </c>
      <c r="N104" s="22">
        <v>19208</v>
      </c>
    </row>
    <row r="105" s="7" customFormat="1" customHeight="1" spans="1:14">
      <c r="A105" s="21" t="s">
        <v>748</v>
      </c>
      <c r="B105" s="22" t="s">
        <v>748</v>
      </c>
      <c r="C105" s="22" t="s">
        <v>748</v>
      </c>
      <c r="D105" s="23" t="s">
        <v>561</v>
      </c>
      <c r="F105" s="97" t="s">
        <v>285</v>
      </c>
      <c r="H105" s="22" t="s">
        <v>749</v>
      </c>
      <c r="I105" s="7" t="s">
        <v>287</v>
      </c>
      <c r="K105" s="22" t="s">
        <v>750</v>
      </c>
      <c r="L105" s="22" t="s">
        <v>751</v>
      </c>
      <c r="M105" s="23" t="s">
        <v>741</v>
      </c>
      <c r="N105" s="98" t="s">
        <v>752</v>
      </c>
    </row>
    <row r="106" s="7" customFormat="1" customHeight="1" spans="1:14">
      <c r="A106" s="21" t="s">
        <v>753</v>
      </c>
      <c r="B106" s="22" t="s">
        <v>753</v>
      </c>
      <c r="C106" s="22" t="s">
        <v>753</v>
      </c>
      <c r="D106" s="23" t="s">
        <v>561</v>
      </c>
      <c r="F106" s="97" t="s">
        <v>285</v>
      </c>
      <c r="H106" s="22" t="s">
        <v>754</v>
      </c>
      <c r="I106" s="7" t="s">
        <v>287</v>
      </c>
      <c r="K106" s="22" t="s">
        <v>755</v>
      </c>
      <c r="L106" s="22" t="s">
        <v>755</v>
      </c>
      <c r="M106" s="23" t="s">
        <v>741</v>
      </c>
      <c r="N106" s="98" t="s">
        <v>756</v>
      </c>
    </row>
    <row r="107" s="7" customFormat="1" customHeight="1" spans="1:14">
      <c r="A107" s="21" t="s">
        <v>757</v>
      </c>
      <c r="B107" s="22" t="s">
        <v>757</v>
      </c>
      <c r="C107" s="22" t="s">
        <v>757</v>
      </c>
      <c r="D107" s="23" t="s">
        <v>561</v>
      </c>
      <c r="F107" s="97" t="s">
        <v>285</v>
      </c>
      <c r="H107" s="22" t="s">
        <v>758</v>
      </c>
      <c r="I107" s="7" t="s">
        <v>287</v>
      </c>
      <c r="K107" s="22" t="s">
        <v>759</v>
      </c>
      <c r="L107" s="22" t="s">
        <v>760</v>
      </c>
      <c r="M107" s="23" t="s">
        <v>741</v>
      </c>
      <c r="N107" s="22">
        <v>45200</v>
      </c>
    </row>
    <row r="108" s="7" customFormat="1" customHeight="1" spans="1:14">
      <c r="A108" s="21" t="s">
        <v>761</v>
      </c>
      <c r="B108" s="22" t="s">
        <v>761</v>
      </c>
      <c r="C108" s="22" t="s">
        <v>761</v>
      </c>
      <c r="D108" s="23" t="s">
        <v>561</v>
      </c>
      <c r="F108" s="97" t="s">
        <v>285</v>
      </c>
      <c r="H108" s="22" t="s">
        <v>762</v>
      </c>
      <c r="I108" s="7" t="s">
        <v>287</v>
      </c>
      <c r="K108" s="22" t="s">
        <v>763</v>
      </c>
      <c r="L108" s="22" t="s">
        <v>764</v>
      </c>
      <c r="M108" s="23" t="s">
        <v>741</v>
      </c>
      <c r="N108" s="22">
        <v>41703</v>
      </c>
    </row>
    <row r="109" s="7" customFormat="1" customHeight="1" spans="1:14">
      <c r="A109" s="21" t="s">
        <v>765</v>
      </c>
      <c r="B109" s="22" t="s">
        <v>765</v>
      </c>
      <c r="C109" s="22" t="s">
        <v>765</v>
      </c>
      <c r="D109" s="23" t="s">
        <v>561</v>
      </c>
      <c r="F109" s="97" t="s">
        <v>285</v>
      </c>
      <c r="H109" s="22" t="s">
        <v>766</v>
      </c>
      <c r="I109" s="7" t="s">
        <v>287</v>
      </c>
      <c r="K109" s="22" t="s">
        <v>767</v>
      </c>
      <c r="L109" s="22" t="s">
        <v>740</v>
      </c>
      <c r="M109" s="23" t="s">
        <v>741</v>
      </c>
      <c r="N109" s="22">
        <v>28804</v>
      </c>
    </row>
    <row r="110" s="7" customFormat="1" ht="20" customHeight="1" spans="1:14">
      <c r="A110" s="21" t="s">
        <v>768</v>
      </c>
      <c r="B110" s="22" t="s">
        <v>768</v>
      </c>
      <c r="C110" s="22" t="s">
        <v>768</v>
      </c>
      <c r="D110" s="23" t="s">
        <v>561</v>
      </c>
      <c r="F110" s="97" t="s">
        <v>285</v>
      </c>
      <c r="H110" s="22" t="s">
        <v>769</v>
      </c>
      <c r="I110" s="7" t="s">
        <v>287</v>
      </c>
      <c r="K110" s="22" t="s">
        <v>770</v>
      </c>
      <c r="L110" s="22" t="s">
        <v>760</v>
      </c>
      <c r="M110" s="23" t="s">
        <v>741</v>
      </c>
      <c r="N110" s="22">
        <v>45200</v>
      </c>
    </row>
    <row r="111" s="7" customFormat="1" customHeight="1" spans="1:14">
      <c r="A111" s="21" t="s">
        <v>771</v>
      </c>
      <c r="B111" s="22" t="s">
        <v>771</v>
      </c>
      <c r="C111" s="22" t="s">
        <v>771</v>
      </c>
      <c r="D111" s="23" t="s">
        <v>561</v>
      </c>
      <c r="F111" s="97" t="s">
        <v>285</v>
      </c>
      <c r="H111" s="22" t="s">
        <v>772</v>
      </c>
      <c r="I111" s="7" t="s">
        <v>773</v>
      </c>
      <c r="K111" s="22" t="s">
        <v>774</v>
      </c>
      <c r="L111" s="22" t="s">
        <v>774</v>
      </c>
      <c r="M111" s="23" t="s">
        <v>741</v>
      </c>
      <c r="N111" s="22">
        <v>30156</v>
      </c>
    </row>
    <row r="112" s="7" customFormat="1" customHeight="1" spans="1:14">
      <c r="A112" s="21" t="s">
        <v>775</v>
      </c>
      <c r="B112" s="22" t="s">
        <v>775</v>
      </c>
      <c r="C112" s="22" t="s">
        <v>775</v>
      </c>
      <c r="D112" s="23" t="s">
        <v>561</v>
      </c>
      <c r="F112" s="97" t="s">
        <v>285</v>
      </c>
      <c r="H112" s="22" t="s">
        <v>776</v>
      </c>
      <c r="I112" s="7" t="s">
        <v>287</v>
      </c>
      <c r="K112" s="22" t="s">
        <v>770</v>
      </c>
      <c r="L112" s="22" t="s">
        <v>770</v>
      </c>
      <c r="M112" s="23" t="s">
        <v>741</v>
      </c>
      <c r="N112" s="22">
        <v>45200</v>
      </c>
    </row>
    <row r="113" s="7" customFormat="1" customHeight="1" spans="1:14">
      <c r="A113" s="21" t="s">
        <v>777</v>
      </c>
      <c r="B113" s="22" t="s">
        <v>777</v>
      </c>
      <c r="C113" s="22" t="s">
        <v>777</v>
      </c>
      <c r="D113" s="23" t="s">
        <v>561</v>
      </c>
      <c r="F113" s="97" t="s">
        <v>285</v>
      </c>
      <c r="H113" s="22" t="s">
        <v>778</v>
      </c>
      <c r="I113" s="7" t="s">
        <v>287</v>
      </c>
      <c r="K113" s="22" t="s">
        <v>779</v>
      </c>
      <c r="L113" s="22" t="s">
        <v>780</v>
      </c>
      <c r="M113" s="23" t="s">
        <v>741</v>
      </c>
      <c r="N113" s="22">
        <v>12200</v>
      </c>
    </row>
    <row r="114" s="7" customFormat="1" customHeight="1" spans="1:14">
      <c r="A114" s="21" t="s">
        <v>781</v>
      </c>
      <c r="B114" s="22" t="s">
        <v>781</v>
      </c>
      <c r="C114" s="22" t="s">
        <v>781</v>
      </c>
      <c r="D114" s="23" t="s">
        <v>561</v>
      </c>
      <c r="F114" s="97" t="s">
        <v>285</v>
      </c>
      <c r="H114" s="22" t="s">
        <v>782</v>
      </c>
      <c r="I114" s="7" t="s">
        <v>287</v>
      </c>
      <c r="K114" s="22" t="s">
        <v>783</v>
      </c>
      <c r="L114" s="22" t="s">
        <v>751</v>
      </c>
      <c r="M114" s="23" t="s">
        <v>741</v>
      </c>
      <c r="N114" s="98" t="s">
        <v>784</v>
      </c>
    </row>
    <row r="115" s="7" customFormat="1" customHeight="1" spans="1:14">
      <c r="A115" s="21" t="s">
        <v>785</v>
      </c>
      <c r="B115" s="22" t="s">
        <v>785</v>
      </c>
      <c r="C115" s="22" t="s">
        <v>785</v>
      </c>
      <c r="D115" s="23" t="s">
        <v>561</v>
      </c>
      <c r="F115" s="97" t="s">
        <v>285</v>
      </c>
      <c r="H115" s="22" t="s">
        <v>786</v>
      </c>
      <c r="I115" s="7" t="s">
        <v>287</v>
      </c>
      <c r="K115" s="22" t="s">
        <v>787</v>
      </c>
      <c r="L115" s="22" t="s">
        <v>788</v>
      </c>
      <c r="M115" s="23" t="s">
        <v>741</v>
      </c>
      <c r="N115" s="22">
        <v>50197</v>
      </c>
    </row>
    <row r="116" s="7" customFormat="1" customHeight="1" spans="1:14">
      <c r="A116" s="21" t="s">
        <v>789</v>
      </c>
      <c r="B116" s="22" t="s">
        <v>789</v>
      </c>
      <c r="C116" s="22" t="s">
        <v>789</v>
      </c>
      <c r="D116" s="23" t="s">
        <v>561</v>
      </c>
      <c r="F116" s="97" t="s">
        <v>285</v>
      </c>
      <c r="H116" s="22" t="s">
        <v>790</v>
      </c>
      <c r="I116" s="7" t="s">
        <v>287</v>
      </c>
      <c r="K116" s="22" t="s">
        <v>791</v>
      </c>
      <c r="L116" s="22" t="s">
        <v>760</v>
      </c>
      <c r="M116" s="23" t="s">
        <v>741</v>
      </c>
      <c r="N116" s="22">
        <v>45340</v>
      </c>
    </row>
    <row r="117" s="7" customFormat="1" customHeight="1" spans="1:14">
      <c r="A117" s="21" t="s">
        <v>792</v>
      </c>
      <c r="B117" s="22" t="s">
        <v>792</v>
      </c>
      <c r="C117" s="22" t="s">
        <v>792</v>
      </c>
      <c r="D117" s="23" t="s">
        <v>561</v>
      </c>
      <c r="F117" s="97" t="s">
        <v>285</v>
      </c>
      <c r="H117" s="22" t="s">
        <v>793</v>
      </c>
      <c r="I117" s="7" t="s">
        <v>287</v>
      </c>
      <c r="K117" s="22" t="s">
        <v>794</v>
      </c>
      <c r="L117" s="22" t="s">
        <v>795</v>
      </c>
      <c r="M117" s="23" t="s">
        <v>796</v>
      </c>
      <c r="N117" s="22">
        <v>29015</v>
      </c>
    </row>
    <row r="118" s="7" customFormat="1" customHeight="1" spans="1:14">
      <c r="A118" s="21" t="s">
        <v>797</v>
      </c>
      <c r="B118" s="22" t="s">
        <v>797</v>
      </c>
      <c r="C118" s="22" t="s">
        <v>797</v>
      </c>
      <c r="D118" s="23" t="s">
        <v>561</v>
      </c>
      <c r="F118" s="97" t="s">
        <v>285</v>
      </c>
      <c r="H118" s="22" t="s">
        <v>798</v>
      </c>
      <c r="I118" s="7" t="s">
        <v>287</v>
      </c>
      <c r="K118" s="22" t="s">
        <v>799</v>
      </c>
      <c r="L118" s="22" t="s">
        <v>800</v>
      </c>
      <c r="M118" s="23" t="s">
        <v>796</v>
      </c>
      <c r="N118" s="98" t="s">
        <v>801</v>
      </c>
    </row>
    <row r="119" s="7" customFormat="1" customHeight="1" spans="1:14">
      <c r="A119" s="21" t="s">
        <v>802</v>
      </c>
      <c r="B119" s="22" t="s">
        <v>802</v>
      </c>
      <c r="C119" s="22" t="s">
        <v>802</v>
      </c>
      <c r="D119" s="23" t="s">
        <v>561</v>
      </c>
      <c r="F119" s="97" t="s">
        <v>285</v>
      </c>
      <c r="H119" s="22" t="s">
        <v>803</v>
      </c>
      <c r="I119" s="7" t="s">
        <v>287</v>
      </c>
      <c r="K119" s="22" t="s">
        <v>804</v>
      </c>
      <c r="L119" s="22" t="s">
        <v>804</v>
      </c>
      <c r="M119" s="23" t="s">
        <v>796</v>
      </c>
      <c r="N119" s="22">
        <v>13100</v>
      </c>
    </row>
    <row r="120" s="7" customFormat="1" customHeight="1" spans="1:14">
      <c r="A120" s="21" t="s">
        <v>805</v>
      </c>
      <c r="B120" s="22" t="s">
        <v>805</v>
      </c>
      <c r="C120" s="22" t="s">
        <v>805</v>
      </c>
      <c r="D120" s="23" t="s">
        <v>561</v>
      </c>
      <c r="F120" s="97" t="s">
        <v>285</v>
      </c>
      <c r="H120" s="22" t="s">
        <v>806</v>
      </c>
      <c r="I120" s="7" t="s">
        <v>287</v>
      </c>
      <c r="K120" s="22" t="s">
        <v>807</v>
      </c>
      <c r="L120" s="24" t="s">
        <v>808</v>
      </c>
      <c r="M120" s="23" t="s">
        <v>796</v>
      </c>
      <c r="N120" s="22">
        <v>20080</v>
      </c>
    </row>
    <row r="121" s="7" customFormat="1" customHeight="1" spans="1:14">
      <c r="A121" s="21" t="s">
        <v>809</v>
      </c>
      <c r="B121" s="22" t="s">
        <v>809</v>
      </c>
      <c r="C121" s="22" t="s">
        <v>809</v>
      </c>
      <c r="D121" s="23" t="s">
        <v>561</v>
      </c>
      <c r="F121" s="97" t="s">
        <v>285</v>
      </c>
      <c r="H121" s="22" t="s">
        <v>810</v>
      </c>
      <c r="I121" s="7" t="s">
        <v>287</v>
      </c>
      <c r="K121" s="22" t="s">
        <v>811</v>
      </c>
      <c r="L121" s="22" t="s">
        <v>812</v>
      </c>
      <c r="M121" s="23" t="s">
        <v>796</v>
      </c>
      <c r="N121" s="22">
        <v>10037</v>
      </c>
    </row>
    <row r="122" s="7" customFormat="1" customHeight="1" spans="1:14">
      <c r="A122" s="21" t="s">
        <v>813</v>
      </c>
      <c r="B122" s="22" t="s">
        <v>813</v>
      </c>
      <c r="C122" s="22" t="s">
        <v>813</v>
      </c>
      <c r="D122" s="23" t="s">
        <v>561</v>
      </c>
      <c r="F122" s="97" t="s">
        <v>285</v>
      </c>
      <c r="H122" s="22" t="s">
        <v>814</v>
      </c>
      <c r="I122" s="7" t="s">
        <v>287</v>
      </c>
      <c r="K122" s="22" t="s">
        <v>815</v>
      </c>
      <c r="L122" s="22" t="s">
        <v>816</v>
      </c>
      <c r="M122" s="23" t="s">
        <v>796</v>
      </c>
      <c r="N122" s="22">
        <v>20080</v>
      </c>
    </row>
    <row r="123" s="7" customFormat="1" customHeight="1" spans="1:14">
      <c r="A123" s="21" t="s">
        <v>817</v>
      </c>
      <c r="B123" s="22" t="s">
        <v>817</v>
      </c>
      <c r="C123" s="22" t="s">
        <v>817</v>
      </c>
      <c r="D123" s="23" t="s">
        <v>561</v>
      </c>
      <c r="F123" s="97" t="s">
        <v>285</v>
      </c>
      <c r="H123" s="22" t="s">
        <v>818</v>
      </c>
      <c r="I123" s="7" t="s">
        <v>287</v>
      </c>
      <c r="K123" s="22" t="s">
        <v>819</v>
      </c>
      <c r="L123" s="22" t="s">
        <v>820</v>
      </c>
      <c r="M123" s="23" t="s">
        <v>796</v>
      </c>
      <c r="N123" s="22">
        <v>45031</v>
      </c>
    </row>
    <row r="124" s="7" customFormat="1" customHeight="1" spans="1:14">
      <c r="A124" s="21" t="s">
        <v>821</v>
      </c>
      <c r="B124" s="22" t="s">
        <v>821</v>
      </c>
      <c r="C124" s="22" t="s">
        <v>821</v>
      </c>
      <c r="D124" s="23" t="s">
        <v>561</v>
      </c>
      <c r="F124" s="97" t="s">
        <v>285</v>
      </c>
      <c r="H124" s="22" t="s">
        <v>822</v>
      </c>
      <c r="I124" s="7" t="s">
        <v>287</v>
      </c>
      <c r="K124" s="22" t="s">
        <v>823</v>
      </c>
      <c r="L124" s="22" t="s">
        <v>824</v>
      </c>
      <c r="M124" s="23" t="s">
        <v>796</v>
      </c>
      <c r="N124" s="22">
        <v>45020</v>
      </c>
    </row>
    <row r="125" s="7" customFormat="1" customHeight="1" spans="1:14">
      <c r="A125" s="21" t="s">
        <v>825</v>
      </c>
      <c r="B125" s="22" t="s">
        <v>825</v>
      </c>
      <c r="C125" s="22" t="s">
        <v>825</v>
      </c>
      <c r="D125" s="23" t="s">
        <v>561</v>
      </c>
      <c r="F125" s="97" t="s">
        <v>285</v>
      </c>
      <c r="H125" s="22" t="s">
        <v>826</v>
      </c>
      <c r="I125" s="7" t="s">
        <v>287</v>
      </c>
      <c r="K125" s="22" t="s">
        <v>827</v>
      </c>
      <c r="L125" s="22" t="s">
        <v>828</v>
      </c>
      <c r="M125" s="23" t="s">
        <v>796</v>
      </c>
      <c r="N125" s="98" t="s">
        <v>829</v>
      </c>
    </row>
    <row r="126" s="7" customFormat="1" customHeight="1" spans="1:14">
      <c r="A126" s="21" t="s">
        <v>830</v>
      </c>
      <c r="B126" s="22" t="s">
        <v>830</v>
      </c>
      <c r="C126" s="22" t="s">
        <v>830</v>
      </c>
      <c r="D126" s="23" t="s">
        <v>561</v>
      </c>
      <c r="F126" s="97" t="s">
        <v>285</v>
      </c>
      <c r="H126" s="22" t="s">
        <v>831</v>
      </c>
      <c r="I126" s="7" t="s">
        <v>287</v>
      </c>
      <c r="K126" s="22" t="s">
        <v>832</v>
      </c>
      <c r="L126" s="22" t="s">
        <v>833</v>
      </c>
      <c r="M126" s="23" t="s">
        <v>796</v>
      </c>
      <c r="N126" s="22">
        <v>28100</v>
      </c>
    </row>
    <row r="127" s="7" customFormat="1" customHeight="1" spans="1:14">
      <c r="A127" s="21" t="s">
        <v>834</v>
      </c>
      <c r="B127" s="22" t="s">
        <v>835</v>
      </c>
      <c r="C127" s="22" t="s">
        <v>834</v>
      </c>
      <c r="D127" s="23" t="s">
        <v>561</v>
      </c>
      <c r="F127" s="97" t="s">
        <v>285</v>
      </c>
      <c r="H127" s="22" t="s">
        <v>836</v>
      </c>
      <c r="I127" s="7" t="s">
        <v>287</v>
      </c>
      <c r="K127" s="22" t="s">
        <v>837</v>
      </c>
      <c r="L127" s="22" t="s">
        <v>838</v>
      </c>
      <c r="M127" s="23" t="s">
        <v>796</v>
      </c>
      <c r="N127" s="22">
        <v>24050</v>
      </c>
    </row>
    <row r="128" s="7" customFormat="1" customHeight="1" spans="1:14">
      <c r="A128" s="21" t="s">
        <v>839</v>
      </c>
      <c r="B128" s="22" t="s">
        <v>839</v>
      </c>
      <c r="C128" s="22" t="s">
        <v>839</v>
      </c>
      <c r="D128" s="23" t="s">
        <v>561</v>
      </c>
      <c r="F128" s="97" t="s">
        <v>285</v>
      </c>
      <c r="H128" s="22" t="s">
        <v>840</v>
      </c>
      <c r="I128" s="7" t="s">
        <v>287</v>
      </c>
      <c r="K128" s="22" t="s">
        <v>795</v>
      </c>
      <c r="L128" s="22" t="s">
        <v>841</v>
      </c>
      <c r="M128" s="23" t="s">
        <v>796</v>
      </c>
      <c r="N128" s="22">
        <v>29100</v>
      </c>
    </row>
    <row r="129" s="7" customFormat="1" customHeight="1" spans="1:14">
      <c r="A129" s="21" t="s">
        <v>842</v>
      </c>
      <c r="B129" s="22" t="s">
        <v>842</v>
      </c>
      <c r="C129" s="22" t="s">
        <v>842</v>
      </c>
      <c r="D129" s="23" t="s">
        <v>561</v>
      </c>
      <c r="F129" s="97" t="s">
        <v>285</v>
      </c>
      <c r="H129" s="22" t="s">
        <v>843</v>
      </c>
      <c r="I129" s="7" t="s">
        <v>287</v>
      </c>
      <c r="K129" s="22" t="s">
        <v>844</v>
      </c>
      <c r="L129" s="22" t="s">
        <v>845</v>
      </c>
      <c r="M129" s="23" t="s">
        <v>796</v>
      </c>
      <c r="N129" s="22">
        <v>66050</v>
      </c>
    </row>
    <row r="130" s="7" customFormat="1" customHeight="1" spans="1:14">
      <c r="A130" s="21" t="s">
        <v>846</v>
      </c>
      <c r="B130" s="22" t="s">
        <v>846</v>
      </c>
      <c r="C130" s="22" t="s">
        <v>846</v>
      </c>
      <c r="D130" s="23" t="s">
        <v>561</v>
      </c>
      <c r="F130" s="97" t="s">
        <v>285</v>
      </c>
      <c r="H130" s="22" t="s">
        <v>847</v>
      </c>
      <c r="I130" s="7" t="s">
        <v>287</v>
      </c>
      <c r="K130" s="22" t="s">
        <v>848</v>
      </c>
      <c r="L130" s="22" t="s">
        <v>849</v>
      </c>
      <c r="M130" s="23" t="s">
        <v>796</v>
      </c>
      <c r="N130" s="22">
        <v>27050</v>
      </c>
    </row>
    <row r="131" s="7" customFormat="1" customHeight="1" spans="1:14">
      <c r="A131" s="21" t="s">
        <v>850</v>
      </c>
      <c r="B131" s="22" t="s">
        <v>850</v>
      </c>
      <c r="C131" s="22" t="s">
        <v>850</v>
      </c>
      <c r="D131" s="23" t="s">
        <v>561</v>
      </c>
      <c r="F131" s="97" t="s">
        <v>285</v>
      </c>
      <c r="H131" s="22" t="s">
        <v>851</v>
      </c>
      <c r="I131" s="7" t="s">
        <v>852</v>
      </c>
      <c r="K131" s="22" t="s">
        <v>853</v>
      </c>
      <c r="L131" s="22" t="s">
        <v>854</v>
      </c>
      <c r="M131" s="23" t="s">
        <v>796</v>
      </c>
      <c r="N131" s="22">
        <v>27010</v>
      </c>
    </row>
    <row r="132" s="7" customFormat="1" customHeight="1" spans="1:14">
      <c r="A132" s="21" t="s">
        <v>855</v>
      </c>
      <c r="B132" s="22" t="s">
        <v>855</v>
      </c>
      <c r="C132" s="22" t="s">
        <v>855</v>
      </c>
      <c r="D132" s="23" t="s">
        <v>561</v>
      </c>
      <c r="F132" s="97" t="s">
        <v>285</v>
      </c>
      <c r="H132" s="22" t="s">
        <v>856</v>
      </c>
      <c r="I132" s="7" t="s">
        <v>287</v>
      </c>
      <c r="K132" s="22" t="s">
        <v>857</v>
      </c>
      <c r="L132" s="22" t="s">
        <v>828</v>
      </c>
      <c r="M132" s="23" t="s">
        <v>796</v>
      </c>
      <c r="N132" s="98" t="s">
        <v>858</v>
      </c>
    </row>
    <row r="133" s="7" customFormat="1" customHeight="1" spans="1:14">
      <c r="A133" s="21" t="s">
        <v>859</v>
      </c>
      <c r="B133" s="25" t="s">
        <v>859</v>
      </c>
      <c r="C133" s="25" t="s">
        <v>859</v>
      </c>
      <c r="D133" s="23" t="s">
        <v>561</v>
      </c>
      <c r="F133" s="97" t="s">
        <v>285</v>
      </c>
      <c r="H133" s="22" t="s">
        <v>860</v>
      </c>
      <c r="I133" s="7" t="s">
        <v>287</v>
      </c>
      <c r="K133" s="22" t="s">
        <v>861</v>
      </c>
      <c r="L133" s="22" t="s">
        <v>862</v>
      </c>
      <c r="M133" s="23" t="s">
        <v>796</v>
      </c>
      <c r="N133" s="22">
        <v>15122</v>
      </c>
    </row>
    <row r="134" s="7" customFormat="1" customHeight="1" spans="1:14">
      <c r="A134" s="15" t="s">
        <v>863</v>
      </c>
      <c r="B134" s="26" t="s">
        <v>863</v>
      </c>
      <c r="C134" s="26" t="s">
        <v>863</v>
      </c>
      <c r="D134" s="23" t="s">
        <v>561</v>
      </c>
      <c r="F134" s="97" t="s">
        <v>285</v>
      </c>
      <c r="H134" s="16" t="s">
        <v>864</v>
      </c>
      <c r="I134" s="7" t="s">
        <v>287</v>
      </c>
      <c r="K134" s="16" t="s">
        <v>865</v>
      </c>
      <c r="L134" s="16" t="s">
        <v>866</v>
      </c>
      <c r="M134" s="23" t="s">
        <v>796</v>
      </c>
      <c r="N134" s="16">
        <v>41057</v>
      </c>
    </row>
    <row r="135" s="7" customFormat="1" customHeight="1" spans="1:14">
      <c r="A135" s="15" t="s">
        <v>867</v>
      </c>
      <c r="B135" s="26" t="s">
        <v>867</v>
      </c>
      <c r="C135" s="26" t="s">
        <v>867</v>
      </c>
      <c r="D135" s="23" t="s">
        <v>561</v>
      </c>
      <c r="F135" s="97" t="s">
        <v>285</v>
      </c>
      <c r="H135" s="16" t="s">
        <v>868</v>
      </c>
      <c r="I135" s="7" t="s">
        <v>287</v>
      </c>
      <c r="K135" s="22" t="s">
        <v>869</v>
      </c>
      <c r="L135" s="16"/>
      <c r="M135" s="23" t="s">
        <v>870</v>
      </c>
      <c r="N135" s="22">
        <v>80440</v>
      </c>
    </row>
    <row r="136" s="7" customFormat="1" customHeight="1" spans="1:14">
      <c r="A136" s="21" t="s">
        <v>871</v>
      </c>
      <c r="B136" s="25" t="s">
        <v>871</v>
      </c>
      <c r="C136" s="25" t="s">
        <v>871</v>
      </c>
      <c r="D136" s="23" t="s">
        <v>561</v>
      </c>
      <c r="F136" s="97" t="s">
        <v>285</v>
      </c>
      <c r="H136" s="16" t="s">
        <v>868</v>
      </c>
      <c r="I136" s="7" t="s">
        <v>287</v>
      </c>
      <c r="K136" s="22" t="s">
        <v>869</v>
      </c>
      <c r="L136" s="22" t="s">
        <v>869</v>
      </c>
      <c r="M136" s="23" t="s">
        <v>870</v>
      </c>
      <c r="N136" s="22">
        <v>80440</v>
      </c>
    </row>
    <row r="137" s="7" customFormat="1" ht="16.5" spans="1:14">
      <c r="A137" s="21" t="s">
        <v>872</v>
      </c>
      <c r="B137" s="25" t="s">
        <v>872</v>
      </c>
      <c r="C137" s="25" t="s">
        <v>872</v>
      </c>
      <c r="D137" s="23" t="s">
        <v>561</v>
      </c>
      <c r="F137" s="97" t="s">
        <v>285</v>
      </c>
      <c r="H137" s="22" t="s">
        <v>873</v>
      </c>
      <c r="I137" s="7" t="s">
        <v>874</v>
      </c>
      <c r="K137" s="22" t="s">
        <v>875</v>
      </c>
      <c r="L137" s="22" t="s">
        <v>875</v>
      </c>
      <c r="M137" s="23" t="s">
        <v>870</v>
      </c>
      <c r="N137" s="22">
        <v>33610</v>
      </c>
    </row>
    <row r="138" s="10" customFormat="1" customHeight="1" spans="1:14">
      <c r="A138" s="21" t="s">
        <v>876</v>
      </c>
      <c r="B138" s="25" t="s">
        <v>877</v>
      </c>
      <c r="C138" s="21" t="s">
        <v>876</v>
      </c>
      <c r="D138" s="10" t="s">
        <v>561</v>
      </c>
      <c r="F138" s="97" t="s">
        <v>285</v>
      </c>
      <c r="H138" s="25" t="s">
        <v>878</v>
      </c>
      <c r="I138" s="10" t="s">
        <v>879</v>
      </c>
      <c r="K138" s="25" t="s">
        <v>880</v>
      </c>
      <c r="L138" s="25" t="s">
        <v>881</v>
      </c>
      <c r="M138" s="10" t="s">
        <v>870</v>
      </c>
      <c r="N138" s="25">
        <v>60300</v>
      </c>
    </row>
    <row r="139" s="10" customFormat="1" customHeight="1" spans="1:14">
      <c r="A139" s="21" t="s">
        <v>882</v>
      </c>
      <c r="B139" s="25" t="s">
        <v>882</v>
      </c>
      <c r="C139" s="25" t="s">
        <v>882</v>
      </c>
      <c r="D139" s="10" t="s">
        <v>561</v>
      </c>
      <c r="F139" s="97" t="s">
        <v>285</v>
      </c>
      <c r="H139" s="25" t="s">
        <v>883</v>
      </c>
      <c r="I139" s="10" t="s">
        <v>287</v>
      </c>
      <c r="K139" s="25" t="s">
        <v>884</v>
      </c>
      <c r="L139" s="25" t="s">
        <v>885</v>
      </c>
      <c r="M139" s="10" t="s">
        <v>870</v>
      </c>
      <c r="N139" s="25">
        <v>57685</v>
      </c>
    </row>
    <row r="140" s="10" customFormat="1" customHeight="1" spans="1:14">
      <c r="A140" s="21" t="s">
        <v>886</v>
      </c>
      <c r="B140" s="25" t="s">
        <v>886</v>
      </c>
      <c r="C140" s="25" t="s">
        <v>886</v>
      </c>
      <c r="D140" s="10" t="s">
        <v>561</v>
      </c>
      <c r="F140" s="97" t="s">
        <v>285</v>
      </c>
      <c r="H140" s="25" t="s">
        <v>887</v>
      </c>
      <c r="I140" s="10" t="s">
        <v>287</v>
      </c>
      <c r="K140" s="25" t="s">
        <v>888</v>
      </c>
      <c r="L140" s="25" t="s">
        <v>889</v>
      </c>
      <c r="M140" s="10" t="s">
        <v>870</v>
      </c>
      <c r="N140" s="25">
        <v>59553</v>
      </c>
    </row>
    <row r="141" s="10" customFormat="1" customHeight="1" spans="1:14">
      <c r="A141" s="21" t="s">
        <v>890</v>
      </c>
      <c r="B141" s="25" t="s">
        <v>891</v>
      </c>
      <c r="C141" s="25" t="s">
        <v>891</v>
      </c>
      <c r="D141" s="10" t="s">
        <v>561</v>
      </c>
      <c r="F141" s="97" t="s">
        <v>285</v>
      </c>
      <c r="H141" s="25" t="s">
        <v>892</v>
      </c>
      <c r="I141" s="10" t="s">
        <v>287</v>
      </c>
      <c r="K141" s="25" t="s">
        <v>888</v>
      </c>
      <c r="L141" s="25" t="s">
        <v>889</v>
      </c>
      <c r="M141" s="10" t="s">
        <v>870</v>
      </c>
      <c r="N141" s="25">
        <v>59553</v>
      </c>
    </row>
    <row r="142" s="10" customFormat="1" customHeight="1" spans="1:14">
      <c r="A142" s="21" t="s">
        <v>893</v>
      </c>
      <c r="B142" s="25" t="s">
        <v>894</v>
      </c>
      <c r="C142" s="25" t="s">
        <v>894</v>
      </c>
      <c r="D142" s="10" t="s">
        <v>561</v>
      </c>
      <c r="F142" s="97" t="s">
        <v>285</v>
      </c>
      <c r="H142" s="25" t="s">
        <v>895</v>
      </c>
      <c r="I142" s="10" t="s">
        <v>287</v>
      </c>
      <c r="K142" s="25" t="s">
        <v>896</v>
      </c>
      <c r="L142" s="25"/>
      <c r="M142" s="10" t="s">
        <v>870</v>
      </c>
      <c r="N142" s="25">
        <v>59353</v>
      </c>
    </row>
    <row r="143" s="10" customFormat="1" customHeight="1" spans="1:14">
      <c r="A143" s="21" t="s">
        <v>897</v>
      </c>
      <c r="B143" s="25" t="s">
        <v>897</v>
      </c>
      <c r="C143" s="25" t="s">
        <v>897</v>
      </c>
      <c r="D143" s="10" t="s">
        <v>561</v>
      </c>
      <c r="F143" s="97" t="s">
        <v>285</v>
      </c>
      <c r="H143" s="25" t="s">
        <v>887</v>
      </c>
      <c r="I143" s="10" t="s">
        <v>287</v>
      </c>
      <c r="K143" s="25" t="s">
        <v>888</v>
      </c>
      <c r="L143" s="25" t="s">
        <v>889</v>
      </c>
      <c r="M143" s="10" t="s">
        <v>870</v>
      </c>
      <c r="N143" s="25">
        <v>59553</v>
      </c>
    </row>
    <row r="144" s="10" customFormat="1" customHeight="1" spans="1:14">
      <c r="A144" s="21" t="s">
        <v>898</v>
      </c>
      <c r="B144" s="25" t="s">
        <v>898</v>
      </c>
      <c r="C144" s="25" t="s">
        <v>898</v>
      </c>
      <c r="D144" s="10" t="s">
        <v>561</v>
      </c>
      <c r="F144" s="97" t="s">
        <v>285</v>
      </c>
      <c r="H144" s="25" t="s">
        <v>899</v>
      </c>
      <c r="I144" s="10" t="s">
        <v>900</v>
      </c>
      <c r="K144" s="25" t="s">
        <v>901</v>
      </c>
      <c r="L144" s="25" t="s">
        <v>901</v>
      </c>
      <c r="M144" s="10" t="s">
        <v>870</v>
      </c>
      <c r="N144" s="25">
        <v>71311</v>
      </c>
    </row>
    <row r="145" s="10" customFormat="1" customHeight="1" spans="1:14">
      <c r="A145" s="21" t="s">
        <v>902</v>
      </c>
      <c r="B145" s="25" t="s">
        <v>902</v>
      </c>
      <c r="C145" s="25" t="s">
        <v>902</v>
      </c>
      <c r="D145" s="10" t="s">
        <v>561</v>
      </c>
      <c r="F145" s="97" t="s">
        <v>285</v>
      </c>
      <c r="H145" s="25" t="s">
        <v>903</v>
      </c>
      <c r="I145" s="10" t="s">
        <v>904</v>
      </c>
      <c r="K145" s="25" t="s">
        <v>905</v>
      </c>
      <c r="L145" s="25" t="s">
        <v>906</v>
      </c>
      <c r="M145" s="10" t="s">
        <v>870</v>
      </c>
      <c r="N145" s="25">
        <v>26200</v>
      </c>
    </row>
    <row r="146" s="10" customFormat="1" customHeight="1" spans="1:14">
      <c r="A146" s="21" t="s">
        <v>907</v>
      </c>
      <c r="B146" s="25" t="s">
        <v>907</v>
      </c>
      <c r="C146" s="25" t="s">
        <v>907</v>
      </c>
      <c r="D146" s="10" t="s">
        <v>561</v>
      </c>
      <c r="F146" s="97" t="s">
        <v>285</v>
      </c>
      <c r="H146" s="25" t="s">
        <v>908</v>
      </c>
      <c r="I146" s="10" t="s">
        <v>287</v>
      </c>
      <c r="K146" s="25" t="s">
        <v>909</v>
      </c>
      <c r="L146" s="25"/>
      <c r="M146" s="10" t="s">
        <v>870</v>
      </c>
      <c r="N146" s="25">
        <v>45772</v>
      </c>
    </row>
    <row r="147" s="10" customFormat="1" customHeight="1" spans="1:14">
      <c r="A147" s="21" t="s">
        <v>910</v>
      </c>
      <c r="B147" s="25" t="s">
        <v>910</v>
      </c>
      <c r="C147" s="25" t="s">
        <v>910</v>
      </c>
      <c r="D147" s="10" t="s">
        <v>561</v>
      </c>
      <c r="F147" s="97" t="s">
        <v>285</v>
      </c>
      <c r="H147" s="25" t="s">
        <v>911</v>
      </c>
      <c r="I147" s="10" t="s">
        <v>287</v>
      </c>
      <c r="K147" s="25" t="s">
        <v>912</v>
      </c>
      <c r="L147" s="25" t="s">
        <v>913</v>
      </c>
      <c r="M147" s="10" t="s">
        <v>870</v>
      </c>
      <c r="N147" s="25">
        <v>91220</v>
      </c>
    </row>
    <row r="148" s="7" customFormat="1" customHeight="1" spans="1:14">
      <c r="A148" s="21" t="s">
        <v>914</v>
      </c>
      <c r="B148" s="22" t="s">
        <v>914</v>
      </c>
      <c r="C148" s="22" t="s">
        <v>914</v>
      </c>
      <c r="D148" s="23" t="s">
        <v>561</v>
      </c>
      <c r="F148" s="97" t="s">
        <v>285</v>
      </c>
      <c r="H148" s="22" t="s">
        <v>915</v>
      </c>
      <c r="I148" s="10" t="s">
        <v>287</v>
      </c>
      <c r="K148" s="22" t="s">
        <v>916</v>
      </c>
      <c r="L148" s="22" t="s">
        <v>917</v>
      </c>
      <c r="M148" s="23" t="s">
        <v>870</v>
      </c>
      <c r="N148" s="22">
        <v>77176</v>
      </c>
    </row>
    <row r="149" s="7" customFormat="1" customHeight="1" spans="1:14">
      <c r="A149" s="21" t="s">
        <v>918</v>
      </c>
      <c r="B149" s="22" t="s">
        <v>918</v>
      </c>
      <c r="C149" s="22" t="s">
        <v>918</v>
      </c>
      <c r="D149" s="23" t="s">
        <v>561</v>
      </c>
      <c r="F149" s="97" t="s">
        <v>285</v>
      </c>
      <c r="H149" s="22" t="s">
        <v>919</v>
      </c>
      <c r="I149" s="10" t="s">
        <v>287</v>
      </c>
      <c r="K149" s="22" t="s">
        <v>920</v>
      </c>
      <c r="L149" s="22" t="s">
        <v>917</v>
      </c>
      <c r="M149" s="23" t="s">
        <v>870</v>
      </c>
      <c r="N149" s="22">
        <v>77380</v>
      </c>
    </row>
    <row r="150" s="7" customFormat="1" customHeight="1" spans="1:14">
      <c r="A150" s="21" t="s">
        <v>921</v>
      </c>
      <c r="B150" s="22" t="s">
        <v>921</v>
      </c>
      <c r="C150" s="22" t="s">
        <v>921</v>
      </c>
      <c r="D150" s="23" t="s">
        <v>561</v>
      </c>
      <c r="F150" s="97" t="s">
        <v>285</v>
      </c>
      <c r="H150" s="22" t="s">
        <v>922</v>
      </c>
      <c r="I150" s="10" t="s">
        <v>287</v>
      </c>
      <c r="K150" s="22" t="s">
        <v>923</v>
      </c>
      <c r="L150" s="22" t="s">
        <v>924</v>
      </c>
      <c r="M150" s="23" t="s">
        <v>870</v>
      </c>
      <c r="N150" s="22">
        <v>45410</v>
      </c>
    </row>
    <row r="151" s="7" customFormat="1" customHeight="1" spans="1:14">
      <c r="A151" s="21" t="s">
        <v>925</v>
      </c>
      <c r="B151" s="22" t="s">
        <v>925</v>
      </c>
      <c r="C151" s="22" t="s">
        <v>925</v>
      </c>
      <c r="D151" s="23" t="s">
        <v>561</v>
      </c>
      <c r="F151" s="97" t="s">
        <v>285</v>
      </c>
      <c r="H151" s="22" t="s">
        <v>915</v>
      </c>
      <c r="I151" s="10" t="s">
        <v>287</v>
      </c>
      <c r="K151" s="22" t="s">
        <v>916</v>
      </c>
      <c r="L151" s="22" t="s">
        <v>926</v>
      </c>
      <c r="M151" s="23" t="s">
        <v>870</v>
      </c>
      <c r="N151" s="22">
        <v>77176</v>
      </c>
    </row>
    <row r="152" s="7" customFormat="1" customHeight="1" spans="1:14">
      <c r="A152" s="21" t="s">
        <v>927</v>
      </c>
      <c r="B152" s="22" t="s">
        <v>927</v>
      </c>
      <c r="C152" s="22" t="s">
        <v>927</v>
      </c>
      <c r="D152" s="23" t="s">
        <v>561</v>
      </c>
      <c r="F152" s="97" t="s">
        <v>285</v>
      </c>
      <c r="H152" s="22" t="s">
        <v>928</v>
      </c>
      <c r="I152" s="10" t="s">
        <v>287</v>
      </c>
      <c r="K152" s="22" t="s">
        <v>929</v>
      </c>
      <c r="L152" s="22" t="s">
        <v>930</v>
      </c>
      <c r="M152" s="23" t="s">
        <v>870</v>
      </c>
      <c r="N152" s="22">
        <v>38070</v>
      </c>
    </row>
    <row r="153" s="10" customFormat="1" customHeight="1" spans="1:14">
      <c r="A153" s="21" t="s">
        <v>931</v>
      </c>
      <c r="B153" s="25" t="s">
        <v>931</v>
      </c>
      <c r="C153" s="25" t="s">
        <v>931</v>
      </c>
      <c r="D153" s="10" t="s">
        <v>561</v>
      </c>
      <c r="F153" s="97" t="s">
        <v>285</v>
      </c>
      <c r="H153" s="25" t="s">
        <v>932</v>
      </c>
      <c r="I153" s="10" t="s">
        <v>933</v>
      </c>
      <c r="K153" s="25" t="s">
        <v>934</v>
      </c>
      <c r="L153" s="25" t="s">
        <v>935</v>
      </c>
      <c r="M153" s="10" t="s">
        <v>870</v>
      </c>
      <c r="N153" s="25">
        <v>77550</v>
      </c>
    </row>
    <row r="154" s="7" customFormat="1" customHeight="1" spans="1:14">
      <c r="A154" s="21" t="s">
        <v>936</v>
      </c>
      <c r="B154" s="22" t="s">
        <v>936</v>
      </c>
      <c r="C154" s="22" t="s">
        <v>936</v>
      </c>
      <c r="D154" s="23" t="s">
        <v>561</v>
      </c>
      <c r="F154" s="97" t="s">
        <v>285</v>
      </c>
      <c r="H154" s="22" t="s">
        <v>937</v>
      </c>
      <c r="I154" s="7" t="s">
        <v>938</v>
      </c>
      <c r="K154" s="22" t="s">
        <v>939</v>
      </c>
      <c r="L154" s="22" t="s">
        <v>940</v>
      </c>
      <c r="M154" s="23" t="s">
        <v>870</v>
      </c>
      <c r="N154" s="22">
        <v>38290</v>
      </c>
    </row>
    <row r="155" s="7" customFormat="1" customHeight="1" spans="1:14">
      <c r="A155" s="21" t="s">
        <v>941</v>
      </c>
      <c r="B155" s="22" t="s">
        <v>941</v>
      </c>
      <c r="C155" s="22" t="s">
        <v>941</v>
      </c>
      <c r="D155" s="23" t="s">
        <v>561</v>
      </c>
      <c r="F155" s="97" t="s">
        <v>285</v>
      </c>
      <c r="H155" s="22" t="s">
        <v>942</v>
      </c>
      <c r="I155" s="7" t="s">
        <v>943</v>
      </c>
      <c r="K155" s="22" t="s">
        <v>944</v>
      </c>
      <c r="L155" s="22" t="s">
        <v>917</v>
      </c>
      <c r="M155" s="23" t="s">
        <v>870</v>
      </c>
      <c r="N155" s="22">
        <v>77610</v>
      </c>
    </row>
    <row r="156" s="7" customFormat="1" customHeight="1" spans="1:14">
      <c r="A156" s="21" t="s">
        <v>945</v>
      </c>
      <c r="B156" s="22" t="s">
        <v>945</v>
      </c>
      <c r="C156" s="22" t="s">
        <v>945</v>
      </c>
      <c r="D156" s="23" t="s">
        <v>561</v>
      </c>
      <c r="F156" s="97" t="s">
        <v>285</v>
      </c>
      <c r="H156" s="22" t="s">
        <v>946</v>
      </c>
      <c r="I156" s="7" t="s">
        <v>287</v>
      </c>
      <c r="K156" s="22" t="s">
        <v>947</v>
      </c>
      <c r="L156" s="22" t="s">
        <v>948</v>
      </c>
      <c r="M156" s="23" t="s">
        <v>870</v>
      </c>
      <c r="N156" s="22">
        <v>80470</v>
      </c>
    </row>
    <row r="157" s="7" customFormat="1" customHeight="1" spans="1:14">
      <c r="A157" s="21" t="s">
        <v>949</v>
      </c>
      <c r="B157" s="22" t="s">
        <v>949</v>
      </c>
      <c r="C157" s="22" t="s">
        <v>949</v>
      </c>
      <c r="D157" s="23" t="s">
        <v>561</v>
      </c>
      <c r="F157" s="97" t="s">
        <v>285</v>
      </c>
      <c r="H157" s="22" t="s">
        <v>950</v>
      </c>
      <c r="I157" s="7" t="s">
        <v>287</v>
      </c>
      <c r="K157" s="22" t="s">
        <v>951</v>
      </c>
      <c r="L157" s="22" t="s">
        <v>889</v>
      </c>
      <c r="M157" s="23" t="s">
        <v>870</v>
      </c>
      <c r="N157" s="22">
        <v>62117</v>
      </c>
    </row>
    <row r="158" s="7" customFormat="1" customHeight="1" spans="1:14">
      <c r="A158" s="21" t="s">
        <v>952</v>
      </c>
      <c r="B158" s="22" t="s">
        <v>952</v>
      </c>
      <c r="C158" s="22" t="s">
        <v>952</v>
      </c>
      <c r="D158" s="23" t="s">
        <v>561</v>
      </c>
      <c r="F158" s="97" t="s">
        <v>285</v>
      </c>
      <c r="H158" s="22" t="s">
        <v>953</v>
      </c>
      <c r="I158" s="7" t="s">
        <v>954</v>
      </c>
      <c r="K158" s="22" t="s">
        <v>955</v>
      </c>
      <c r="L158" s="22" t="s">
        <v>956</v>
      </c>
      <c r="M158" s="23" t="s">
        <v>870</v>
      </c>
      <c r="N158" s="22">
        <v>51320</v>
      </c>
    </row>
    <row r="159" s="7" customFormat="1" customHeight="1" spans="1:14">
      <c r="A159" s="21" t="s">
        <v>957</v>
      </c>
      <c r="B159" s="22" t="s">
        <v>957</v>
      </c>
      <c r="C159" s="22" t="s">
        <v>957</v>
      </c>
      <c r="D159" s="23" t="s">
        <v>561</v>
      </c>
      <c r="F159" s="97" t="s">
        <v>285</v>
      </c>
      <c r="H159" s="22" t="s">
        <v>958</v>
      </c>
      <c r="I159" s="7" t="s">
        <v>287</v>
      </c>
      <c r="K159" s="22" t="s">
        <v>959</v>
      </c>
      <c r="L159" s="22" t="s">
        <v>960</v>
      </c>
      <c r="M159" s="23" t="s">
        <v>961</v>
      </c>
      <c r="N159" s="22">
        <v>67661</v>
      </c>
    </row>
    <row r="160" s="10" customFormat="1" customHeight="1" spans="1:14">
      <c r="A160" s="21" t="s">
        <v>962</v>
      </c>
      <c r="B160" s="25" t="s">
        <v>962</v>
      </c>
      <c r="C160" s="25" t="s">
        <v>962</v>
      </c>
      <c r="D160" s="10" t="s">
        <v>561</v>
      </c>
      <c r="F160" s="97" t="s">
        <v>285</v>
      </c>
      <c r="H160" s="25" t="s">
        <v>963</v>
      </c>
      <c r="I160" s="7" t="s">
        <v>287</v>
      </c>
      <c r="K160" s="25" t="s">
        <v>964</v>
      </c>
      <c r="L160" s="25" t="s">
        <v>965</v>
      </c>
      <c r="M160" s="10" t="s">
        <v>961</v>
      </c>
      <c r="N160" s="99" t="s">
        <v>966</v>
      </c>
    </row>
    <row r="161" s="7" customFormat="1" customHeight="1" spans="1:14">
      <c r="A161" s="21" t="s">
        <v>967</v>
      </c>
      <c r="B161" s="22" t="s">
        <v>967</v>
      </c>
      <c r="C161" s="22" t="s">
        <v>967</v>
      </c>
      <c r="D161" s="23" t="s">
        <v>561</v>
      </c>
      <c r="F161" s="97" t="s">
        <v>285</v>
      </c>
      <c r="H161" s="22" t="s">
        <v>963</v>
      </c>
      <c r="I161" s="7" t="s">
        <v>287</v>
      </c>
      <c r="K161" s="22" t="s">
        <v>964</v>
      </c>
      <c r="L161" s="22" t="s">
        <v>965</v>
      </c>
      <c r="M161" s="23" t="s">
        <v>961</v>
      </c>
      <c r="N161" s="98" t="s">
        <v>966</v>
      </c>
    </row>
    <row r="162" s="7" customFormat="1" customHeight="1" spans="1:14">
      <c r="A162" s="21" t="s">
        <v>968</v>
      </c>
      <c r="B162" s="22" t="s">
        <v>968</v>
      </c>
      <c r="C162" s="22" t="s">
        <v>968</v>
      </c>
      <c r="D162" s="23" t="s">
        <v>561</v>
      </c>
      <c r="F162" s="97" t="s">
        <v>285</v>
      </c>
      <c r="H162" s="22" t="s">
        <v>969</v>
      </c>
      <c r="I162" s="7" t="s">
        <v>287</v>
      </c>
      <c r="K162" s="22" t="s">
        <v>970</v>
      </c>
      <c r="L162" s="22" t="s">
        <v>971</v>
      </c>
      <c r="M162" s="23" t="s">
        <v>961</v>
      </c>
      <c r="N162" s="22">
        <v>91589</v>
      </c>
    </row>
    <row r="163" s="7" customFormat="1" customHeight="1" spans="1:14">
      <c r="A163" s="21" t="s">
        <v>972</v>
      </c>
      <c r="B163" s="22" t="s">
        <v>972</v>
      </c>
      <c r="C163" s="22" t="s">
        <v>972</v>
      </c>
      <c r="D163" s="23" t="s">
        <v>561</v>
      </c>
      <c r="F163" s="97" t="s">
        <v>285</v>
      </c>
      <c r="H163" s="22" t="s">
        <v>973</v>
      </c>
      <c r="I163" s="7" t="s">
        <v>287</v>
      </c>
      <c r="K163" s="22" t="s">
        <v>974</v>
      </c>
      <c r="L163" s="22" t="s">
        <v>975</v>
      </c>
      <c r="M163" s="23" t="s">
        <v>961</v>
      </c>
      <c r="N163" s="22">
        <v>89522</v>
      </c>
    </row>
    <row r="164" s="7" customFormat="1" customHeight="1" spans="1:14">
      <c r="A164" s="21" t="s">
        <v>976</v>
      </c>
      <c r="B164" s="22" t="s">
        <v>976</v>
      </c>
      <c r="C164" s="22" t="s">
        <v>976</v>
      </c>
      <c r="D164" s="23" t="s">
        <v>561</v>
      </c>
      <c r="F164" s="97" t="s">
        <v>285</v>
      </c>
      <c r="H164" s="22" t="s">
        <v>977</v>
      </c>
      <c r="I164" s="7" t="s">
        <v>287</v>
      </c>
      <c r="K164" s="22" t="s">
        <v>978</v>
      </c>
      <c r="L164" s="22" t="s">
        <v>979</v>
      </c>
      <c r="M164" s="23" t="s">
        <v>961</v>
      </c>
      <c r="N164" s="22">
        <v>31629</v>
      </c>
    </row>
    <row r="165" s="7" customFormat="1" customHeight="1" spans="1:14">
      <c r="A165" s="21" t="s">
        <v>980</v>
      </c>
      <c r="B165" s="22" t="s">
        <v>980</v>
      </c>
      <c r="C165" s="22" t="s">
        <v>980</v>
      </c>
      <c r="D165" s="23" t="s">
        <v>561</v>
      </c>
      <c r="F165" s="97" t="s">
        <v>285</v>
      </c>
      <c r="H165" s="22" t="s">
        <v>981</v>
      </c>
      <c r="I165" s="7" t="s">
        <v>287</v>
      </c>
      <c r="K165" s="22" t="s">
        <v>982</v>
      </c>
      <c r="L165" s="22" t="s">
        <v>983</v>
      </c>
      <c r="M165" s="23" t="s">
        <v>961</v>
      </c>
      <c r="N165" s="22">
        <v>64720</v>
      </c>
    </row>
    <row r="166" s="7" customFormat="1" customHeight="1" spans="1:14">
      <c r="A166" s="21" t="s">
        <v>984</v>
      </c>
      <c r="B166" s="22" t="s">
        <v>984</v>
      </c>
      <c r="C166" s="22" t="s">
        <v>984</v>
      </c>
      <c r="D166" s="23" t="s">
        <v>561</v>
      </c>
      <c r="F166" s="97" t="s">
        <v>285</v>
      </c>
      <c r="H166" s="22" t="s">
        <v>985</v>
      </c>
      <c r="I166" s="7" t="s">
        <v>287</v>
      </c>
      <c r="K166" s="22" t="s">
        <v>986</v>
      </c>
      <c r="L166" s="22" t="s">
        <v>987</v>
      </c>
      <c r="M166" s="23" t="s">
        <v>961</v>
      </c>
      <c r="N166" s="22">
        <v>56477</v>
      </c>
    </row>
    <row r="167" s="7" customFormat="1" customHeight="1" spans="1:14">
      <c r="A167" s="21" t="s">
        <v>988</v>
      </c>
      <c r="B167" s="22" t="s">
        <v>988</v>
      </c>
      <c r="C167" s="22" t="s">
        <v>988</v>
      </c>
      <c r="D167" s="23" t="s">
        <v>561</v>
      </c>
      <c r="F167" s="97" t="s">
        <v>285</v>
      </c>
      <c r="H167" s="22" t="s">
        <v>989</v>
      </c>
      <c r="I167" s="7" t="s">
        <v>287</v>
      </c>
      <c r="K167" s="22" t="s">
        <v>990</v>
      </c>
      <c r="L167" s="22" t="s">
        <v>991</v>
      </c>
      <c r="M167" s="23" t="s">
        <v>961</v>
      </c>
      <c r="N167" s="22">
        <v>63546</v>
      </c>
    </row>
    <row r="168" s="7" customFormat="1" customHeight="1" spans="1:14">
      <c r="A168" s="21" t="s">
        <v>992</v>
      </c>
      <c r="B168" s="22" t="s">
        <v>992</v>
      </c>
      <c r="C168" s="22" t="s">
        <v>992</v>
      </c>
      <c r="D168" s="23" t="s">
        <v>561</v>
      </c>
      <c r="F168" s="97" t="s">
        <v>285</v>
      </c>
      <c r="H168" s="22" t="s">
        <v>993</v>
      </c>
      <c r="I168" s="7" t="s">
        <v>287</v>
      </c>
      <c r="K168" s="22" t="s">
        <v>994</v>
      </c>
      <c r="L168" s="22" t="s">
        <v>995</v>
      </c>
      <c r="M168" s="23" t="s">
        <v>961</v>
      </c>
      <c r="N168" s="22">
        <v>46147</v>
      </c>
    </row>
    <row r="169" s="7" customFormat="1" customHeight="1" spans="1:14">
      <c r="A169" s="21" t="s">
        <v>996</v>
      </c>
      <c r="B169" s="22" t="s">
        <v>996</v>
      </c>
      <c r="C169" s="22" t="s">
        <v>996</v>
      </c>
      <c r="D169" s="23" t="s">
        <v>561</v>
      </c>
      <c r="F169" s="97" t="s">
        <v>285</v>
      </c>
      <c r="H169" s="22" t="s">
        <v>997</v>
      </c>
      <c r="I169" s="7" t="s">
        <v>287</v>
      </c>
      <c r="K169" s="22" t="s">
        <v>998</v>
      </c>
      <c r="L169" s="22" t="s">
        <v>999</v>
      </c>
      <c r="M169" s="23" t="s">
        <v>961</v>
      </c>
      <c r="N169" s="22">
        <v>34323</v>
      </c>
    </row>
    <row r="170" s="7" customFormat="1" customHeight="1" spans="1:14">
      <c r="A170" s="21" t="s">
        <v>1000</v>
      </c>
      <c r="B170" s="22" t="s">
        <v>1000</v>
      </c>
      <c r="C170" s="22" t="s">
        <v>1000</v>
      </c>
      <c r="D170" s="23" t="s">
        <v>561</v>
      </c>
      <c r="F170" s="97" t="s">
        <v>285</v>
      </c>
      <c r="H170" s="22" t="s">
        <v>1001</v>
      </c>
      <c r="I170" s="7" t="s">
        <v>1002</v>
      </c>
      <c r="K170" s="22" t="s">
        <v>1003</v>
      </c>
      <c r="L170" s="22" t="s">
        <v>1004</v>
      </c>
      <c r="M170" s="23" t="s">
        <v>961</v>
      </c>
      <c r="N170" s="22">
        <v>37081</v>
      </c>
    </row>
    <row r="171" s="7" customFormat="1" customHeight="1" spans="1:14">
      <c r="A171" s="21" t="s">
        <v>1005</v>
      </c>
      <c r="B171" s="22" t="s">
        <v>1005</v>
      </c>
      <c r="C171" s="22" t="s">
        <v>1005</v>
      </c>
      <c r="D171" s="23" t="s">
        <v>561</v>
      </c>
      <c r="F171" s="97" t="s">
        <v>285</v>
      </c>
      <c r="H171" s="22" t="s">
        <v>985</v>
      </c>
      <c r="I171" s="7" t="s">
        <v>287</v>
      </c>
      <c r="K171" s="22" t="s">
        <v>986</v>
      </c>
      <c r="L171" s="22" t="s">
        <v>960</v>
      </c>
      <c r="M171" s="23" t="s">
        <v>961</v>
      </c>
      <c r="N171" s="22">
        <v>56477</v>
      </c>
    </row>
    <row r="172" s="7" customFormat="1" customHeight="1" spans="1:14">
      <c r="A172" s="21" t="s">
        <v>1006</v>
      </c>
      <c r="B172" s="22" t="s">
        <v>1006</v>
      </c>
      <c r="C172" s="22" t="s">
        <v>1006</v>
      </c>
      <c r="D172" s="23" t="s">
        <v>561</v>
      </c>
      <c r="F172" s="97" t="s">
        <v>285</v>
      </c>
      <c r="H172" s="22" t="s">
        <v>1007</v>
      </c>
      <c r="I172" s="7" t="s">
        <v>1008</v>
      </c>
      <c r="K172" s="22" t="s">
        <v>1009</v>
      </c>
      <c r="L172" s="22" t="s">
        <v>1010</v>
      </c>
      <c r="M172" s="23" t="s">
        <v>961</v>
      </c>
      <c r="N172" s="22">
        <v>15713</v>
      </c>
    </row>
    <row r="173" s="10" customFormat="1" customHeight="1" spans="1:14">
      <c r="A173" s="21" t="s">
        <v>1011</v>
      </c>
      <c r="B173" s="25" t="s">
        <v>1012</v>
      </c>
      <c r="C173" s="25" t="s">
        <v>1011</v>
      </c>
      <c r="D173" s="10" t="s">
        <v>561</v>
      </c>
      <c r="F173" s="97" t="s">
        <v>285</v>
      </c>
      <c r="H173" s="25" t="s">
        <v>1013</v>
      </c>
      <c r="I173" s="10" t="s">
        <v>287</v>
      </c>
      <c r="K173" s="25" t="s">
        <v>1014</v>
      </c>
      <c r="L173" s="25" t="s">
        <v>965</v>
      </c>
      <c r="M173" s="10" t="s">
        <v>961</v>
      </c>
      <c r="N173" s="99" t="s">
        <v>1015</v>
      </c>
    </row>
    <row r="174" s="7" customFormat="1" customHeight="1" spans="1:14">
      <c r="A174" s="21" t="s">
        <v>1016</v>
      </c>
      <c r="B174" s="22" t="s">
        <v>1016</v>
      </c>
      <c r="C174" s="22" t="s">
        <v>1016</v>
      </c>
      <c r="D174" s="23" t="s">
        <v>561</v>
      </c>
      <c r="F174" s="97" t="s">
        <v>285</v>
      </c>
      <c r="H174" s="22" t="s">
        <v>963</v>
      </c>
      <c r="I174" s="10" t="s">
        <v>287</v>
      </c>
      <c r="K174" s="22" t="s">
        <v>964</v>
      </c>
      <c r="L174" s="22" t="s">
        <v>965</v>
      </c>
      <c r="M174" s="23" t="s">
        <v>961</v>
      </c>
      <c r="N174" s="98" t="s">
        <v>966</v>
      </c>
    </row>
    <row r="175" s="7" customFormat="1" customHeight="1" spans="1:14">
      <c r="A175" s="21" t="s">
        <v>1017</v>
      </c>
      <c r="B175" s="22" t="s">
        <v>1017</v>
      </c>
      <c r="C175" s="22" t="s">
        <v>1017</v>
      </c>
      <c r="D175" s="23" t="s">
        <v>561</v>
      </c>
      <c r="F175" s="97" t="s">
        <v>285</v>
      </c>
      <c r="H175" s="22" t="s">
        <v>963</v>
      </c>
      <c r="I175" s="10" t="s">
        <v>287</v>
      </c>
      <c r="K175" s="22" t="s">
        <v>964</v>
      </c>
      <c r="L175" s="22" t="s">
        <v>965</v>
      </c>
      <c r="M175" s="23" t="s">
        <v>961</v>
      </c>
      <c r="N175" s="98" t="s">
        <v>966</v>
      </c>
    </row>
    <row r="176" s="7" customFormat="1" customHeight="1" spans="1:14">
      <c r="A176" s="21" t="s">
        <v>1018</v>
      </c>
      <c r="B176" s="22" t="s">
        <v>1018</v>
      </c>
      <c r="C176" s="22" t="s">
        <v>1018</v>
      </c>
      <c r="D176" s="23" t="s">
        <v>561</v>
      </c>
      <c r="F176" s="97" t="s">
        <v>285</v>
      </c>
      <c r="H176" s="22" t="s">
        <v>1019</v>
      </c>
      <c r="I176" s="10" t="s">
        <v>287</v>
      </c>
      <c r="K176" s="22" t="s">
        <v>1020</v>
      </c>
      <c r="L176" s="22" t="s">
        <v>1021</v>
      </c>
      <c r="M176" s="23" t="s">
        <v>961</v>
      </c>
      <c r="N176" s="22">
        <v>75177</v>
      </c>
    </row>
    <row r="177" s="7" customFormat="1" customHeight="1" spans="1:14">
      <c r="A177" s="21" t="s">
        <v>1022</v>
      </c>
      <c r="B177" s="22" t="s">
        <v>1022</v>
      </c>
      <c r="C177" s="22" t="s">
        <v>1022</v>
      </c>
      <c r="D177" s="23" t="s">
        <v>561</v>
      </c>
      <c r="F177" s="97" t="s">
        <v>285</v>
      </c>
      <c r="H177" s="22" t="s">
        <v>1023</v>
      </c>
      <c r="I177" s="10" t="s">
        <v>287</v>
      </c>
      <c r="K177" s="22" t="s">
        <v>959</v>
      </c>
      <c r="L177" s="22" t="s">
        <v>1024</v>
      </c>
      <c r="M177" s="23" t="s">
        <v>961</v>
      </c>
      <c r="N177" s="22">
        <v>67661</v>
      </c>
    </row>
    <row r="178" s="7" customFormat="1" ht="25" customHeight="1" spans="1:14">
      <c r="A178" s="21" t="s">
        <v>1025</v>
      </c>
      <c r="B178" s="22" t="s">
        <v>1025</v>
      </c>
      <c r="C178" s="22" t="s">
        <v>1025</v>
      </c>
      <c r="D178" s="23" t="s">
        <v>561</v>
      </c>
      <c r="F178" s="97" t="s">
        <v>285</v>
      </c>
      <c r="H178" s="22" t="s">
        <v>1026</v>
      </c>
      <c r="I178" s="10" t="s">
        <v>287</v>
      </c>
      <c r="K178" s="22" t="s">
        <v>1027</v>
      </c>
      <c r="L178" s="22" t="s">
        <v>1028</v>
      </c>
      <c r="M178" s="23" t="s">
        <v>961</v>
      </c>
      <c r="N178" s="22">
        <v>18196</v>
      </c>
    </row>
    <row r="179" s="7" customFormat="1" customHeight="1" spans="1:14">
      <c r="A179" s="21" t="s">
        <v>1029</v>
      </c>
      <c r="B179" s="22" t="s">
        <v>1029</v>
      </c>
      <c r="C179" s="22" t="s">
        <v>1029</v>
      </c>
      <c r="D179" s="23" t="s">
        <v>561</v>
      </c>
      <c r="F179" s="97" t="s">
        <v>285</v>
      </c>
      <c r="H179" s="22" t="s">
        <v>1030</v>
      </c>
      <c r="I179" s="10" t="s">
        <v>287</v>
      </c>
      <c r="K179" s="22" t="s">
        <v>1031</v>
      </c>
      <c r="L179" s="22" t="s">
        <v>995</v>
      </c>
      <c r="M179" s="23" t="s">
        <v>961</v>
      </c>
      <c r="N179" s="22">
        <v>59302</v>
      </c>
    </row>
    <row r="180" s="7" customFormat="1" customHeight="1" spans="1:14">
      <c r="A180" s="21" t="s">
        <v>1032</v>
      </c>
      <c r="B180" s="22" t="s">
        <v>1032</v>
      </c>
      <c r="C180" s="22" t="s">
        <v>1032</v>
      </c>
      <c r="D180" s="23" t="s">
        <v>561</v>
      </c>
      <c r="F180" s="97" t="s">
        <v>285</v>
      </c>
      <c r="H180" s="22" t="s">
        <v>1033</v>
      </c>
      <c r="I180" s="10" t="s">
        <v>287</v>
      </c>
      <c r="K180" s="22" t="s">
        <v>1034</v>
      </c>
      <c r="L180" s="22" t="s">
        <v>1034</v>
      </c>
      <c r="M180" s="23" t="s">
        <v>961</v>
      </c>
      <c r="N180" s="22">
        <v>95185</v>
      </c>
    </row>
    <row r="181" s="7" customFormat="1" customHeight="1" spans="1:14">
      <c r="A181" s="21" t="s">
        <v>1035</v>
      </c>
      <c r="B181" s="22" t="s">
        <v>1035</v>
      </c>
      <c r="C181" s="22" t="s">
        <v>1035</v>
      </c>
      <c r="D181" s="23" t="s">
        <v>561</v>
      </c>
      <c r="F181" s="97" t="s">
        <v>285</v>
      </c>
      <c r="H181" s="22" t="s">
        <v>1036</v>
      </c>
      <c r="I181" s="10" t="s">
        <v>287</v>
      </c>
      <c r="K181" s="22" t="s">
        <v>1037</v>
      </c>
      <c r="L181" s="22" t="s">
        <v>1038</v>
      </c>
      <c r="M181" s="23" t="s">
        <v>961</v>
      </c>
      <c r="N181" s="22">
        <v>86836</v>
      </c>
    </row>
    <row r="182" s="7" customFormat="1" customHeight="1" spans="1:14">
      <c r="A182" s="21" t="s">
        <v>1039</v>
      </c>
      <c r="B182" s="22" t="s">
        <v>1039</v>
      </c>
      <c r="C182" s="22" t="s">
        <v>1039</v>
      </c>
      <c r="D182" s="23" t="s">
        <v>561</v>
      </c>
      <c r="F182" s="97" t="s">
        <v>285</v>
      </c>
      <c r="H182" s="22" t="s">
        <v>1040</v>
      </c>
      <c r="I182" s="10" t="s">
        <v>287</v>
      </c>
      <c r="K182" s="22" t="s">
        <v>1041</v>
      </c>
      <c r="L182" s="22" t="s">
        <v>971</v>
      </c>
      <c r="M182" s="23" t="s">
        <v>961</v>
      </c>
      <c r="N182" s="22">
        <v>63801</v>
      </c>
    </row>
    <row r="183" s="7" customFormat="1" customHeight="1" spans="1:14">
      <c r="A183" s="21" t="s">
        <v>1042</v>
      </c>
      <c r="B183" s="22" t="s">
        <v>1042</v>
      </c>
      <c r="C183" s="22" t="s">
        <v>1042</v>
      </c>
      <c r="D183" s="23" t="s">
        <v>561</v>
      </c>
      <c r="F183" s="97" t="s">
        <v>285</v>
      </c>
      <c r="H183" s="22" t="s">
        <v>1043</v>
      </c>
      <c r="I183" s="10" t="s">
        <v>287</v>
      </c>
      <c r="K183" s="22" t="s">
        <v>1044</v>
      </c>
      <c r="L183" s="22" t="s">
        <v>1045</v>
      </c>
      <c r="M183" s="23" t="s">
        <v>961</v>
      </c>
      <c r="N183" s="98" t="s">
        <v>1046</v>
      </c>
    </row>
    <row r="184" s="7" customFormat="1" customHeight="1" spans="1:14">
      <c r="A184" s="21" t="s">
        <v>1047</v>
      </c>
      <c r="B184" s="22" t="s">
        <v>1047</v>
      </c>
      <c r="C184" s="22" t="s">
        <v>1047</v>
      </c>
      <c r="D184" s="23" t="s">
        <v>561</v>
      </c>
      <c r="F184" s="97" t="s">
        <v>285</v>
      </c>
      <c r="H184" s="22" t="s">
        <v>1048</v>
      </c>
      <c r="I184" s="10" t="s">
        <v>287</v>
      </c>
      <c r="K184" s="22" t="s">
        <v>1049</v>
      </c>
      <c r="L184" s="22" t="s">
        <v>1050</v>
      </c>
      <c r="M184" s="23" t="s">
        <v>961</v>
      </c>
      <c r="N184" s="22">
        <v>39171</v>
      </c>
    </row>
    <row r="185" s="7" customFormat="1" customHeight="1" spans="1:14">
      <c r="A185" s="21" t="s">
        <v>1051</v>
      </c>
      <c r="B185" s="22" t="s">
        <v>1051</v>
      </c>
      <c r="C185" s="22" t="s">
        <v>1051</v>
      </c>
      <c r="D185" s="23" t="s">
        <v>561</v>
      </c>
      <c r="F185" s="97" t="s">
        <v>285</v>
      </c>
      <c r="H185" s="22" t="s">
        <v>1019</v>
      </c>
      <c r="I185" s="10" t="s">
        <v>287</v>
      </c>
      <c r="K185" s="22" t="s">
        <v>1052</v>
      </c>
      <c r="L185" s="22" t="s">
        <v>1053</v>
      </c>
      <c r="M185" s="23" t="s">
        <v>961</v>
      </c>
      <c r="N185" s="98" t="s">
        <v>1054</v>
      </c>
    </row>
    <row r="186" s="7" customFormat="1" customHeight="1" spans="1:14">
      <c r="A186" s="21" t="s">
        <v>1055</v>
      </c>
      <c r="B186" s="22" t="s">
        <v>1055</v>
      </c>
      <c r="C186" s="22" t="s">
        <v>1055</v>
      </c>
      <c r="D186" s="23" t="s">
        <v>561</v>
      </c>
      <c r="F186" s="97" t="s">
        <v>285</v>
      </c>
      <c r="H186" s="22" t="s">
        <v>963</v>
      </c>
      <c r="I186" s="10" t="s">
        <v>287</v>
      </c>
      <c r="K186" s="22" t="s">
        <v>964</v>
      </c>
      <c r="L186" s="22" t="s">
        <v>965</v>
      </c>
      <c r="M186" s="23" t="s">
        <v>961</v>
      </c>
      <c r="N186" s="98" t="s">
        <v>966</v>
      </c>
    </row>
    <row r="187" s="7" customFormat="1" customHeight="1" spans="1:14">
      <c r="A187" s="21" t="s">
        <v>1056</v>
      </c>
      <c r="B187" s="22" t="s">
        <v>1056</v>
      </c>
      <c r="C187" s="22" t="s">
        <v>1056</v>
      </c>
      <c r="D187" s="23" t="s">
        <v>561</v>
      </c>
      <c r="F187" s="97" t="s">
        <v>285</v>
      </c>
      <c r="H187" s="22" t="s">
        <v>963</v>
      </c>
      <c r="I187" s="10" t="s">
        <v>287</v>
      </c>
      <c r="K187" s="22" t="s">
        <v>964</v>
      </c>
      <c r="L187" s="22" t="s">
        <v>965</v>
      </c>
      <c r="M187" s="23" t="s">
        <v>961</v>
      </c>
      <c r="N187" s="98" t="s">
        <v>966</v>
      </c>
    </row>
    <row r="188" s="7" customFormat="1" customHeight="1" spans="1:14">
      <c r="A188" s="21" t="s">
        <v>1057</v>
      </c>
      <c r="B188" s="22" t="s">
        <v>1057</v>
      </c>
      <c r="C188" s="22" t="s">
        <v>1057</v>
      </c>
      <c r="D188" s="23" t="s">
        <v>561</v>
      </c>
      <c r="F188" s="97" t="s">
        <v>285</v>
      </c>
      <c r="H188" s="22" t="s">
        <v>1058</v>
      </c>
      <c r="I188" s="10" t="s">
        <v>287</v>
      </c>
      <c r="K188" s="22" t="s">
        <v>1059</v>
      </c>
      <c r="L188" s="22" t="s">
        <v>1060</v>
      </c>
      <c r="M188" s="23" t="s">
        <v>961</v>
      </c>
      <c r="N188" s="22">
        <v>34466</v>
      </c>
    </row>
    <row r="189" s="7" customFormat="1" customHeight="1" spans="1:14">
      <c r="A189" s="21" t="s">
        <v>1061</v>
      </c>
      <c r="B189" s="22" t="s">
        <v>1061</v>
      </c>
      <c r="C189" s="22" t="s">
        <v>1061</v>
      </c>
      <c r="D189" s="23" t="s">
        <v>561</v>
      </c>
      <c r="F189" s="97" t="s">
        <v>285</v>
      </c>
      <c r="H189" s="22" t="s">
        <v>1062</v>
      </c>
      <c r="I189" s="10" t="s">
        <v>287</v>
      </c>
      <c r="K189" s="22" t="s">
        <v>1020</v>
      </c>
      <c r="L189" s="22"/>
      <c r="M189" s="23" t="s">
        <v>961</v>
      </c>
      <c r="N189" s="22">
        <v>75177</v>
      </c>
    </row>
    <row r="190" s="7" customFormat="1" customHeight="1" spans="1:14">
      <c r="A190" s="21" t="s">
        <v>1063</v>
      </c>
      <c r="B190" s="22" t="s">
        <v>1063</v>
      </c>
      <c r="C190" s="22" t="s">
        <v>1063</v>
      </c>
      <c r="D190" s="23" t="s">
        <v>561</v>
      </c>
      <c r="F190" s="97" t="s">
        <v>285</v>
      </c>
      <c r="H190" s="22" t="s">
        <v>1062</v>
      </c>
      <c r="I190" s="10" t="s">
        <v>287</v>
      </c>
      <c r="K190" s="22" t="s">
        <v>1020</v>
      </c>
      <c r="L190" s="22" t="s">
        <v>1020</v>
      </c>
      <c r="M190" s="23" t="s">
        <v>961</v>
      </c>
      <c r="N190" s="22">
        <v>75177</v>
      </c>
    </row>
    <row r="191" s="7" customFormat="1" customHeight="1" spans="1:14">
      <c r="A191" s="21" t="s">
        <v>1064</v>
      </c>
      <c r="B191" s="22" t="s">
        <v>1064</v>
      </c>
      <c r="C191" s="22" t="s">
        <v>1064</v>
      </c>
      <c r="D191" s="23" t="s">
        <v>561</v>
      </c>
      <c r="F191" s="97" t="s">
        <v>285</v>
      </c>
      <c r="H191" s="22" t="s">
        <v>1065</v>
      </c>
      <c r="I191" s="10" t="s">
        <v>287</v>
      </c>
      <c r="K191" s="22" t="s">
        <v>1066</v>
      </c>
      <c r="L191" s="22" t="s">
        <v>1004</v>
      </c>
      <c r="M191" s="23" t="s">
        <v>961</v>
      </c>
      <c r="N191" s="22">
        <v>21423</v>
      </c>
    </row>
    <row r="192" s="7" customFormat="1" customHeight="1" spans="1:14">
      <c r="A192" s="21" t="s">
        <v>1067</v>
      </c>
      <c r="B192" s="22" t="s">
        <v>1067</v>
      </c>
      <c r="C192" s="22" t="s">
        <v>1067</v>
      </c>
      <c r="D192" s="23" t="s">
        <v>561</v>
      </c>
      <c r="F192" s="97" t="s">
        <v>285</v>
      </c>
      <c r="H192" s="22" t="s">
        <v>1068</v>
      </c>
      <c r="I192" s="10" t="s">
        <v>287</v>
      </c>
      <c r="K192" s="22" t="s">
        <v>1069</v>
      </c>
      <c r="L192" s="22" t="s">
        <v>965</v>
      </c>
      <c r="M192" s="23" t="s">
        <v>961</v>
      </c>
      <c r="N192" s="22">
        <v>38350</v>
      </c>
    </row>
    <row r="193" s="7" customFormat="1" customHeight="1" spans="1:14">
      <c r="A193" s="21" t="s">
        <v>1070</v>
      </c>
      <c r="B193" s="22" t="s">
        <v>1070</v>
      </c>
      <c r="C193" s="22" t="s">
        <v>1070</v>
      </c>
      <c r="D193" s="23" t="s">
        <v>561</v>
      </c>
      <c r="F193" s="97" t="s">
        <v>285</v>
      </c>
      <c r="H193" s="22" t="s">
        <v>1071</v>
      </c>
      <c r="I193" s="10" t="s">
        <v>287</v>
      </c>
      <c r="K193" s="22" t="s">
        <v>1072</v>
      </c>
      <c r="L193" s="22" t="s">
        <v>1073</v>
      </c>
      <c r="M193" s="23" t="s">
        <v>961</v>
      </c>
      <c r="N193" s="22">
        <v>67227</v>
      </c>
    </row>
    <row r="194" s="7" customFormat="1" customHeight="1" spans="1:14">
      <c r="A194" s="21" t="s">
        <v>1074</v>
      </c>
      <c r="B194" s="22" t="s">
        <v>1074</v>
      </c>
      <c r="C194" s="22" t="s">
        <v>1074</v>
      </c>
      <c r="D194" s="23" t="s">
        <v>561</v>
      </c>
      <c r="F194" s="97" t="s">
        <v>285</v>
      </c>
      <c r="H194" s="22" t="s">
        <v>1075</v>
      </c>
      <c r="I194" s="10" t="s">
        <v>287</v>
      </c>
      <c r="K194" s="22" t="s">
        <v>1076</v>
      </c>
      <c r="L194" s="22" t="s">
        <v>1077</v>
      </c>
      <c r="M194" s="23" t="s">
        <v>961</v>
      </c>
      <c r="N194" s="22">
        <v>36251</v>
      </c>
    </row>
    <row r="195" s="7" customFormat="1" customHeight="1" spans="1:14">
      <c r="A195" s="21" t="s">
        <v>1078</v>
      </c>
      <c r="B195" s="22" t="s">
        <v>1078</v>
      </c>
      <c r="C195" s="22" t="s">
        <v>1078</v>
      </c>
      <c r="D195" s="23" t="s">
        <v>561</v>
      </c>
      <c r="F195" s="97" t="s">
        <v>285</v>
      </c>
      <c r="H195" s="22" t="s">
        <v>1079</v>
      </c>
      <c r="I195" s="10" t="s">
        <v>287</v>
      </c>
      <c r="K195" s="22" t="s">
        <v>1080</v>
      </c>
      <c r="L195" s="22" t="s">
        <v>1077</v>
      </c>
      <c r="M195" s="23" t="s">
        <v>961</v>
      </c>
      <c r="N195" s="22">
        <v>36251</v>
      </c>
    </row>
    <row r="196" s="7" customFormat="1" customHeight="1" spans="1:14">
      <c r="A196" s="21" t="s">
        <v>1081</v>
      </c>
      <c r="B196" s="22" t="s">
        <v>1081</v>
      </c>
      <c r="C196" s="22" t="s">
        <v>1081</v>
      </c>
      <c r="D196" s="23" t="s">
        <v>561</v>
      </c>
      <c r="F196" s="97" t="s">
        <v>285</v>
      </c>
      <c r="H196" s="22" t="s">
        <v>1082</v>
      </c>
      <c r="I196" s="10" t="s">
        <v>287</v>
      </c>
      <c r="K196" s="22" t="s">
        <v>1083</v>
      </c>
      <c r="L196" s="22" t="s">
        <v>1084</v>
      </c>
      <c r="M196" s="23" t="s">
        <v>961</v>
      </c>
      <c r="N196" s="22">
        <v>44145</v>
      </c>
    </row>
    <row r="197" s="7" customFormat="1" customHeight="1" spans="1:14">
      <c r="A197" s="21" t="s">
        <v>1085</v>
      </c>
      <c r="B197" s="22" t="s">
        <v>1085</v>
      </c>
      <c r="C197" s="22" t="s">
        <v>1085</v>
      </c>
      <c r="D197" s="23" t="s">
        <v>561</v>
      </c>
      <c r="F197" s="97" t="s">
        <v>285</v>
      </c>
      <c r="H197" s="22" t="s">
        <v>1086</v>
      </c>
      <c r="I197" s="10" t="s">
        <v>287</v>
      </c>
      <c r="K197" s="22" t="s">
        <v>1087</v>
      </c>
      <c r="L197" s="22" t="s">
        <v>995</v>
      </c>
      <c r="M197" s="23" t="s">
        <v>961</v>
      </c>
      <c r="N197" s="22">
        <v>59368</v>
      </c>
    </row>
    <row r="198" s="7" customFormat="1" customHeight="1" spans="1:14">
      <c r="A198" s="21" t="s">
        <v>1088</v>
      </c>
      <c r="B198" s="22" t="s">
        <v>1088</v>
      </c>
      <c r="C198" s="22" t="s">
        <v>1088</v>
      </c>
      <c r="D198" s="23" t="s">
        <v>561</v>
      </c>
      <c r="F198" s="97" t="s">
        <v>285</v>
      </c>
      <c r="H198" s="22" t="s">
        <v>1089</v>
      </c>
      <c r="I198" s="10" t="s">
        <v>287</v>
      </c>
      <c r="K198" s="22" t="s">
        <v>1087</v>
      </c>
      <c r="L198" s="22" t="s">
        <v>995</v>
      </c>
      <c r="M198" s="23" t="s">
        <v>961</v>
      </c>
      <c r="N198" s="22">
        <v>59368</v>
      </c>
    </row>
    <row r="199" s="7" customFormat="1" customHeight="1" spans="1:14">
      <c r="A199" s="21" t="s">
        <v>1090</v>
      </c>
      <c r="B199" s="22" t="s">
        <v>1090</v>
      </c>
      <c r="C199" s="22" t="s">
        <v>1090</v>
      </c>
      <c r="D199" s="23" t="s">
        <v>561</v>
      </c>
      <c r="F199" s="97" t="s">
        <v>285</v>
      </c>
      <c r="H199" s="22" t="s">
        <v>1091</v>
      </c>
      <c r="I199" s="10" t="s">
        <v>287</v>
      </c>
      <c r="K199" s="22" t="s">
        <v>1092</v>
      </c>
      <c r="L199" s="22" t="s">
        <v>995</v>
      </c>
      <c r="M199" s="23" t="s">
        <v>961</v>
      </c>
      <c r="N199" s="22">
        <v>41179</v>
      </c>
    </row>
    <row r="200" s="7" customFormat="1" customHeight="1" spans="1:14">
      <c r="A200" s="21" t="s">
        <v>1093</v>
      </c>
      <c r="B200" s="22" t="s">
        <v>1093</v>
      </c>
      <c r="C200" s="22" t="s">
        <v>1093</v>
      </c>
      <c r="D200" s="23" t="s">
        <v>561</v>
      </c>
      <c r="F200" s="97" t="s">
        <v>285</v>
      </c>
      <c r="H200" s="22" t="s">
        <v>1062</v>
      </c>
      <c r="I200" s="10" t="s">
        <v>287</v>
      </c>
      <c r="K200" s="22" t="s">
        <v>1094</v>
      </c>
      <c r="L200" s="22" t="s">
        <v>995</v>
      </c>
      <c r="M200" s="23" t="s">
        <v>961</v>
      </c>
      <c r="N200" s="22">
        <v>47495</v>
      </c>
    </row>
    <row r="201" s="7" customFormat="1" customHeight="1" spans="1:14">
      <c r="A201" s="21" t="s">
        <v>1095</v>
      </c>
      <c r="B201" s="22" t="s">
        <v>1095</v>
      </c>
      <c r="C201" s="22" t="s">
        <v>1095</v>
      </c>
      <c r="D201" s="23" t="s">
        <v>561</v>
      </c>
      <c r="F201" s="97" t="s">
        <v>285</v>
      </c>
      <c r="H201" s="22" t="s">
        <v>1096</v>
      </c>
      <c r="I201" s="10" t="s">
        <v>287</v>
      </c>
      <c r="K201" s="22" t="s">
        <v>1097</v>
      </c>
      <c r="L201" s="22" t="s">
        <v>995</v>
      </c>
      <c r="M201" s="23" t="s">
        <v>961</v>
      </c>
      <c r="N201" s="22">
        <v>58454</v>
      </c>
    </row>
    <row r="202" s="7" customFormat="1" customHeight="1" spans="1:14">
      <c r="A202" s="21" t="s">
        <v>1098</v>
      </c>
      <c r="B202" s="24" t="s">
        <v>1098</v>
      </c>
      <c r="C202" s="24" t="s">
        <v>1098</v>
      </c>
      <c r="D202" s="23" t="s">
        <v>561</v>
      </c>
      <c r="F202" s="97" t="s">
        <v>285</v>
      </c>
      <c r="H202" s="22" t="s">
        <v>1099</v>
      </c>
      <c r="I202" s="10" t="s">
        <v>287</v>
      </c>
      <c r="K202" s="22" t="s">
        <v>1100</v>
      </c>
      <c r="L202" s="22" t="s">
        <v>1101</v>
      </c>
      <c r="M202" s="23" t="s">
        <v>961</v>
      </c>
      <c r="N202" s="22">
        <v>44145</v>
      </c>
    </row>
    <row r="203" s="7" customFormat="1" customHeight="1" spans="1:14">
      <c r="A203" s="21" t="s">
        <v>1102</v>
      </c>
      <c r="B203" s="22" t="s">
        <v>1102</v>
      </c>
      <c r="C203" s="22" t="s">
        <v>1102</v>
      </c>
      <c r="D203" s="23" t="s">
        <v>561</v>
      </c>
      <c r="F203" s="97" t="s">
        <v>285</v>
      </c>
      <c r="H203" s="22" t="s">
        <v>1103</v>
      </c>
      <c r="I203" s="10" t="s">
        <v>287</v>
      </c>
      <c r="K203" s="22" t="s">
        <v>1083</v>
      </c>
      <c r="L203" s="22" t="s">
        <v>995</v>
      </c>
      <c r="M203" s="23" t="s">
        <v>961</v>
      </c>
      <c r="N203" s="22">
        <v>44145</v>
      </c>
    </row>
    <row r="204" s="7" customFormat="1" customHeight="1" spans="1:14">
      <c r="A204" s="21" t="s">
        <v>1104</v>
      </c>
      <c r="B204" s="22" t="s">
        <v>1104</v>
      </c>
      <c r="C204" s="22" t="s">
        <v>1104</v>
      </c>
      <c r="D204" s="23" t="s">
        <v>561</v>
      </c>
      <c r="F204" s="97" t="s">
        <v>285</v>
      </c>
      <c r="H204" s="22" t="s">
        <v>1105</v>
      </c>
      <c r="I204" s="10" t="s">
        <v>287</v>
      </c>
      <c r="K204" s="22" t="s">
        <v>1087</v>
      </c>
      <c r="L204" s="22" t="s">
        <v>995</v>
      </c>
      <c r="M204" s="23" t="s">
        <v>961</v>
      </c>
      <c r="N204" s="22">
        <v>59368</v>
      </c>
    </row>
    <row r="205" s="7" customFormat="1" customHeight="1" spans="1:14">
      <c r="A205" s="21" t="s">
        <v>1106</v>
      </c>
      <c r="B205" s="22" t="s">
        <v>1106</v>
      </c>
      <c r="C205" s="22" t="s">
        <v>1106</v>
      </c>
      <c r="D205" s="23" t="s">
        <v>561</v>
      </c>
      <c r="F205" s="97" t="s">
        <v>285</v>
      </c>
      <c r="H205" s="22" t="s">
        <v>1107</v>
      </c>
      <c r="I205" s="10" t="s">
        <v>287</v>
      </c>
      <c r="K205" s="22" t="s">
        <v>1108</v>
      </c>
      <c r="L205" s="22" t="s">
        <v>1108</v>
      </c>
      <c r="M205" s="23" t="s">
        <v>961</v>
      </c>
      <c r="N205" s="22">
        <v>20539</v>
      </c>
    </row>
    <row r="206" s="7" customFormat="1" customHeight="1" spans="1:14">
      <c r="A206" s="21" t="s">
        <v>1109</v>
      </c>
      <c r="B206" s="22" t="s">
        <v>1109</v>
      </c>
      <c r="C206" s="22" t="s">
        <v>1109</v>
      </c>
      <c r="D206" s="23" t="s">
        <v>561</v>
      </c>
      <c r="F206" s="97" t="s">
        <v>285</v>
      </c>
      <c r="H206" s="22" t="s">
        <v>1033</v>
      </c>
      <c r="I206" s="10" t="s">
        <v>287</v>
      </c>
      <c r="K206" s="22" t="s">
        <v>1110</v>
      </c>
      <c r="L206" s="22" t="s">
        <v>1111</v>
      </c>
      <c r="M206" s="23" t="s">
        <v>961</v>
      </c>
      <c r="N206" s="22">
        <v>56330</v>
      </c>
    </row>
    <row r="207" s="7" customFormat="1" customHeight="1" spans="1:14">
      <c r="A207" s="21" t="s">
        <v>1112</v>
      </c>
      <c r="B207" s="22" t="s">
        <v>1112</v>
      </c>
      <c r="C207" s="22" t="s">
        <v>1112</v>
      </c>
      <c r="D207" s="23" t="s">
        <v>561</v>
      </c>
      <c r="F207" s="97" t="s">
        <v>285</v>
      </c>
      <c r="H207" s="22" t="s">
        <v>1113</v>
      </c>
      <c r="I207" s="10" t="s">
        <v>287</v>
      </c>
      <c r="K207" s="22" t="s">
        <v>1114</v>
      </c>
      <c r="L207" s="22" t="s">
        <v>1004</v>
      </c>
      <c r="M207" s="23" t="s">
        <v>961</v>
      </c>
      <c r="N207" s="22">
        <v>28832</v>
      </c>
    </row>
    <row r="208" s="7" customFormat="1" customHeight="1" spans="1:14">
      <c r="A208" s="21" t="s">
        <v>1115</v>
      </c>
      <c r="B208" s="22" t="s">
        <v>1115</v>
      </c>
      <c r="C208" s="22" t="s">
        <v>1115</v>
      </c>
      <c r="D208" s="23" t="s">
        <v>561</v>
      </c>
      <c r="F208" s="97" t="s">
        <v>285</v>
      </c>
      <c r="H208" s="22" t="s">
        <v>1116</v>
      </c>
      <c r="I208" s="10" t="s">
        <v>287</v>
      </c>
      <c r="K208" s="22" t="s">
        <v>1117</v>
      </c>
      <c r="L208" s="22" t="s">
        <v>1004</v>
      </c>
      <c r="M208" s="23" t="s">
        <v>961</v>
      </c>
      <c r="N208" s="22">
        <v>26197</v>
      </c>
    </row>
    <row r="209" s="7" customFormat="1" customHeight="1" spans="1:14">
      <c r="A209" s="21" t="s">
        <v>1118</v>
      </c>
      <c r="B209" s="22" t="s">
        <v>1118</v>
      </c>
      <c r="C209" s="22" t="s">
        <v>1118</v>
      </c>
      <c r="D209" s="23" t="s">
        <v>561</v>
      </c>
      <c r="F209" s="97" t="s">
        <v>285</v>
      </c>
      <c r="H209" s="22" t="s">
        <v>1119</v>
      </c>
      <c r="I209" s="10" t="s">
        <v>287</v>
      </c>
      <c r="K209" s="22" t="s">
        <v>1120</v>
      </c>
      <c r="L209" s="22" t="s">
        <v>1120</v>
      </c>
      <c r="M209" s="23" t="s">
        <v>961</v>
      </c>
      <c r="N209" s="22">
        <v>13507</v>
      </c>
    </row>
    <row r="210" s="7" customFormat="1" customHeight="1" spans="1:14">
      <c r="A210" s="21" t="s">
        <v>1121</v>
      </c>
      <c r="B210" s="22" t="s">
        <v>1121</v>
      </c>
      <c r="C210" s="22" t="s">
        <v>1121</v>
      </c>
      <c r="D210" s="23" t="s">
        <v>561</v>
      </c>
      <c r="F210" s="97" t="s">
        <v>285</v>
      </c>
      <c r="H210" s="22" t="s">
        <v>1122</v>
      </c>
      <c r="I210" s="10" t="s">
        <v>287</v>
      </c>
      <c r="K210" s="22" t="s">
        <v>1123</v>
      </c>
      <c r="L210" s="22" t="s">
        <v>1010</v>
      </c>
      <c r="M210" s="23" t="s">
        <v>961</v>
      </c>
      <c r="N210" s="22">
        <v>14656</v>
      </c>
    </row>
    <row r="211" s="7" customFormat="1" customHeight="1" spans="1:14">
      <c r="A211" s="15" t="s">
        <v>1124</v>
      </c>
      <c r="B211" s="16" t="s">
        <v>1124</v>
      </c>
      <c r="C211" s="16" t="s">
        <v>1124</v>
      </c>
      <c r="D211" s="23" t="s">
        <v>561</v>
      </c>
      <c r="F211" s="97" t="s">
        <v>285</v>
      </c>
      <c r="H211" s="16" t="s">
        <v>1125</v>
      </c>
      <c r="I211" s="10" t="s">
        <v>287</v>
      </c>
      <c r="K211" s="16" t="s">
        <v>1126</v>
      </c>
      <c r="L211" s="16" t="s">
        <v>971</v>
      </c>
      <c r="M211" s="23" t="s">
        <v>961</v>
      </c>
      <c r="N211" s="16">
        <v>12529</v>
      </c>
    </row>
    <row r="212" s="7" customFormat="1" customHeight="1" spans="1:14">
      <c r="A212" s="21" t="s">
        <v>1127</v>
      </c>
      <c r="B212" s="22" t="s">
        <v>1128</v>
      </c>
      <c r="C212" s="22" t="s">
        <v>1127</v>
      </c>
      <c r="D212" s="16" t="s">
        <v>611</v>
      </c>
      <c r="F212" s="97" t="s">
        <v>285</v>
      </c>
      <c r="H212" s="22" t="s">
        <v>1129</v>
      </c>
      <c r="I212" s="10" t="s">
        <v>287</v>
      </c>
      <c r="K212" s="22" t="s">
        <v>1130</v>
      </c>
      <c r="L212" s="22" t="s">
        <v>995</v>
      </c>
      <c r="M212" s="16" t="s">
        <v>961</v>
      </c>
      <c r="N212" s="25">
        <v>53881</v>
      </c>
    </row>
    <row r="213" s="7" customFormat="1" customHeight="1" spans="1:14">
      <c r="A213" s="15" t="s">
        <v>1131</v>
      </c>
      <c r="B213" s="16" t="s">
        <v>1132</v>
      </c>
      <c r="C213" s="16" t="s">
        <v>1131</v>
      </c>
      <c r="D213" s="16" t="s">
        <v>1131</v>
      </c>
      <c r="F213" s="97" t="s">
        <v>285</v>
      </c>
      <c r="H213" s="16" t="s">
        <v>1133</v>
      </c>
      <c r="I213" s="10" t="s">
        <v>287</v>
      </c>
      <c r="K213" s="16" t="s">
        <v>1130</v>
      </c>
      <c r="L213" s="16" t="s">
        <v>1134</v>
      </c>
      <c r="M213" s="16" t="s">
        <v>961</v>
      </c>
      <c r="N213" s="26">
        <v>53881</v>
      </c>
    </row>
    <row r="214" s="7" customFormat="1" customHeight="1" spans="1:14">
      <c r="A214" s="15" t="s">
        <v>1135</v>
      </c>
      <c r="B214" s="16" t="s">
        <v>1136</v>
      </c>
      <c r="C214" s="16" t="s">
        <v>1135</v>
      </c>
      <c r="D214" s="16" t="s">
        <v>628</v>
      </c>
      <c r="F214" s="97" t="s">
        <v>285</v>
      </c>
      <c r="H214" s="16" t="s">
        <v>1137</v>
      </c>
      <c r="I214" s="10" t="s">
        <v>287</v>
      </c>
      <c r="K214" s="16" t="s">
        <v>1138</v>
      </c>
      <c r="L214" s="16" t="s">
        <v>1139</v>
      </c>
      <c r="M214" s="16" t="s">
        <v>961</v>
      </c>
      <c r="N214" s="26">
        <v>55459</v>
      </c>
    </row>
    <row r="215" s="7" customFormat="1" customHeight="1" spans="1:14">
      <c r="A215" s="15" t="s">
        <v>1140</v>
      </c>
      <c r="B215" s="16" t="s">
        <v>1141</v>
      </c>
      <c r="C215" s="16" t="s">
        <v>1140</v>
      </c>
      <c r="D215" s="16" t="s">
        <v>628</v>
      </c>
      <c r="F215" s="97" t="s">
        <v>285</v>
      </c>
      <c r="H215" s="16" t="s">
        <v>1142</v>
      </c>
      <c r="I215" s="10" t="s">
        <v>287</v>
      </c>
      <c r="K215" s="16" t="s">
        <v>1143</v>
      </c>
      <c r="L215" s="16"/>
      <c r="M215" s="16" t="s">
        <v>961</v>
      </c>
      <c r="N215" s="26">
        <v>28197</v>
      </c>
    </row>
    <row r="216" s="7" customFormat="1" customHeight="1" spans="1:14">
      <c r="A216" s="21" t="s">
        <v>1144</v>
      </c>
      <c r="B216" s="22" t="s">
        <v>1145</v>
      </c>
      <c r="C216" s="22" t="s">
        <v>1144</v>
      </c>
      <c r="D216" s="16" t="s">
        <v>1146</v>
      </c>
      <c r="F216" s="97" t="s">
        <v>285</v>
      </c>
      <c r="H216" s="22" t="s">
        <v>1147</v>
      </c>
      <c r="I216" s="10" t="s">
        <v>287</v>
      </c>
      <c r="K216" s="22" t="s">
        <v>1148</v>
      </c>
      <c r="L216" s="22" t="s">
        <v>960</v>
      </c>
      <c r="M216" s="16" t="s">
        <v>961</v>
      </c>
      <c r="N216" s="25">
        <v>55450</v>
      </c>
    </row>
    <row r="217" s="7" customFormat="1" customHeight="1" spans="1:14">
      <c r="A217" s="15" t="s">
        <v>1149</v>
      </c>
      <c r="B217" s="16" t="s">
        <v>1150</v>
      </c>
      <c r="C217" s="16" t="s">
        <v>1149</v>
      </c>
      <c r="D217" s="16" t="s">
        <v>1151</v>
      </c>
      <c r="F217" s="97" t="s">
        <v>285</v>
      </c>
      <c r="H217" s="16" t="s">
        <v>1152</v>
      </c>
      <c r="I217" s="10" t="s">
        <v>287</v>
      </c>
      <c r="K217" s="16" t="s">
        <v>1153</v>
      </c>
      <c r="L217" s="16"/>
      <c r="M217" s="16" t="s">
        <v>961</v>
      </c>
      <c r="N217" s="26">
        <v>63150</v>
      </c>
    </row>
    <row r="218" s="7" customFormat="1" customHeight="1" spans="1:14">
      <c r="A218" s="15" t="s">
        <v>1154</v>
      </c>
      <c r="B218" s="16" t="s">
        <v>1155</v>
      </c>
      <c r="C218" s="16" t="s">
        <v>1154</v>
      </c>
      <c r="D218" s="16" t="s">
        <v>1156</v>
      </c>
      <c r="F218" s="97" t="s">
        <v>285</v>
      </c>
      <c r="H218" s="16" t="s">
        <v>1157</v>
      </c>
      <c r="I218" s="10" t="s">
        <v>287</v>
      </c>
      <c r="K218" s="16" t="s">
        <v>1158</v>
      </c>
      <c r="L218" s="16"/>
      <c r="M218" s="16" t="s">
        <v>961</v>
      </c>
      <c r="N218" s="26">
        <v>28197</v>
      </c>
    </row>
    <row r="219" s="7" customFormat="1" customHeight="1" spans="1:14">
      <c r="A219" s="21" t="s">
        <v>1159</v>
      </c>
      <c r="B219" s="22" t="s">
        <v>1160</v>
      </c>
      <c r="C219" s="22" t="s">
        <v>1159</v>
      </c>
      <c r="D219" s="23" t="s">
        <v>1146</v>
      </c>
      <c r="F219" s="97" t="s">
        <v>285</v>
      </c>
      <c r="H219" s="7" t="s">
        <v>1161</v>
      </c>
      <c r="I219" s="7" t="s">
        <v>287</v>
      </c>
      <c r="K219" s="7" t="s">
        <v>1138</v>
      </c>
      <c r="L219" s="7" t="s">
        <v>960</v>
      </c>
      <c r="M219" s="7" t="s">
        <v>961</v>
      </c>
      <c r="N219" s="7">
        <v>55459</v>
      </c>
    </row>
    <row r="220" s="7" customFormat="1" customHeight="1" spans="1:14">
      <c r="A220" s="21" t="s">
        <v>1162</v>
      </c>
      <c r="B220" s="22" t="s">
        <v>1163</v>
      </c>
      <c r="C220" s="22" t="s">
        <v>1164</v>
      </c>
      <c r="D220" s="23" t="s">
        <v>561</v>
      </c>
      <c r="F220" s="97" t="s">
        <v>285</v>
      </c>
      <c r="H220" s="22" t="s">
        <v>1165</v>
      </c>
      <c r="I220" s="10" t="s">
        <v>287</v>
      </c>
      <c r="K220" s="22" t="s">
        <v>1166</v>
      </c>
      <c r="L220" s="22" t="s">
        <v>1167</v>
      </c>
      <c r="M220" s="23" t="s">
        <v>1168</v>
      </c>
      <c r="N220" s="22" t="s">
        <v>1169</v>
      </c>
    </row>
    <row r="221" s="7" customFormat="1" customHeight="1" spans="1:14">
      <c r="A221" s="21" t="s">
        <v>1170</v>
      </c>
      <c r="B221" s="22" t="s">
        <v>1171</v>
      </c>
      <c r="C221" s="22" t="s">
        <v>1172</v>
      </c>
      <c r="D221" s="23" t="s">
        <v>561</v>
      </c>
      <c r="F221" s="97" t="s">
        <v>285</v>
      </c>
      <c r="H221" s="22" t="s">
        <v>1173</v>
      </c>
      <c r="I221" s="10" t="s">
        <v>287</v>
      </c>
      <c r="K221" s="22" t="s">
        <v>1174</v>
      </c>
      <c r="L221" s="22" t="s">
        <v>1175</v>
      </c>
      <c r="M221" s="23" t="s">
        <v>1168</v>
      </c>
      <c r="N221" s="22" t="s">
        <v>1176</v>
      </c>
    </row>
    <row r="222" s="7" customFormat="1" customHeight="1" spans="1:14">
      <c r="A222" s="21" t="s">
        <v>1177</v>
      </c>
      <c r="B222" s="22" t="s">
        <v>1178</v>
      </c>
      <c r="C222" s="22" t="s">
        <v>1179</v>
      </c>
      <c r="D222" s="23" t="s">
        <v>561</v>
      </c>
      <c r="F222" s="97" t="s">
        <v>285</v>
      </c>
      <c r="H222" s="22" t="s">
        <v>1180</v>
      </c>
      <c r="I222" s="10" t="s">
        <v>287</v>
      </c>
      <c r="K222" s="22" t="s">
        <v>1180</v>
      </c>
      <c r="L222" s="22" t="s">
        <v>1181</v>
      </c>
      <c r="M222" s="23" t="s">
        <v>1168</v>
      </c>
      <c r="N222" s="22" t="s">
        <v>1182</v>
      </c>
    </row>
    <row r="223" s="7" customFormat="1" customHeight="1" spans="1:14">
      <c r="A223" s="21" t="s">
        <v>1183</v>
      </c>
      <c r="B223" s="22" t="s">
        <v>1184</v>
      </c>
      <c r="C223" s="22" t="s">
        <v>1184</v>
      </c>
      <c r="D223" s="23" t="s">
        <v>561</v>
      </c>
      <c r="F223" s="97" t="s">
        <v>285</v>
      </c>
      <c r="H223" s="22" t="s">
        <v>1185</v>
      </c>
      <c r="I223" s="10" t="s">
        <v>287</v>
      </c>
      <c r="K223" s="22" t="s">
        <v>1186</v>
      </c>
      <c r="L223" s="16" t="s">
        <v>1187</v>
      </c>
      <c r="M223" s="23" t="s">
        <v>1168</v>
      </c>
      <c r="N223" s="22" t="s">
        <v>1169</v>
      </c>
    </row>
    <row r="224" s="7" customFormat="1" customHeight="1" spans="1:14">
      <c r="A224" s="21" t="s">
        <v>1188</v>
      </c>
      <c r="B224" s="22" t="s">
        <v>1189</v>
      </c>
      <c r="C224" s="22" t="s">
        <v>1190</v>
      </c>
      <c r="D224" s="23" t="s">
        <v>561</v>
      </c>
      <c r="F224" s="97" t="s">
        <v>285</v>
      </c>
      <c r="H224" s="22" t="s">
        <v>1191</v>
      </c>
      <c r="I224" s="10" t="s">
        <v>287</v>
      </c>
      <c r="K224" s="22" t="s">
        <v>1186</v>
      </c>
      <c r="L224" s="22" t="s">
        <v>1186</v>
      </c>
      <c r="M224" s="23" t="s">
        <v>1168</v>
      </c>
      <c r="N224" s="22" t="s">
        <v>1169</v>
      </c>
    </row>
    <row r="225" s="7" customFormat="1" customHeight="1" spans="1:14">
      <c r="A225" s="21" t="s">
        <v>1192</v>
      </c>
      <c r="B225" s="22" t="s">
        <v>1192</v>
      </c>
      <c r="C225" s="22" t="s">
        <v>1192</v>
      </c>
      <c r="D225" s="23" t="s">
        <v>561</v>
      </c>
      <c r="F225" s="97" t="s">
        <v>285</v>
      </c>
      <c r="H225" s="22" t="s">
        <v>1193</v>
      </c>
      <c r="I225" s="10" t="s">
        <v>287</v>
      </c>
      <c r="K225" s="22" t="s">
        <v>1194</v>
      </c>
      <c r="L225" s="22" t="s">
        <v>1194</v>
      </c>
      <c r="M225" s="23" t="s">
        <v>1168</v>
      </c>
      <c r="N225" s="22" t="s">
        <v>1195</v>
      </c>
    </row>
    <row r="226" s="7" customFormat="1" customHeight="1" spans="1:14">
      <c r="A226" s="21" t="s">
        <v>1196</v>
      </c>
      <c r="B226" s="22" t="s">
        <v>1196</v>
      </c>
      <c r="C226" s="22" t="s">
        <v>1196</v>
      </c>
      <c r="D226" s="23" t="s">
        <v>561</v>
      </c>
      <c r="F226" s="97" t="s">
        <v>285</v>
      </c>
      <c r="H226" s="22" t="s">
        <v>1197</v>
      </c>
      <c r="I226" s="10" t="s">
        <v>287</v>
      </c>
      <c r="K226" s="22" t="s">
        <v>1198</v>
      </c>
      <c r="L226" s="22" t="s">
        <v>1198</v>
      </c>
      <c r="M226" s="23" t="s">
        <v>1168</v>
      </c>
      <c r="N226" s="22" t="s">
        <v>1199</v>
      </c>
    </row>
    <row r="227" s="7" customFormat="1" customHeight="1" spans="1:14">
      <c r="A227" s="21" t="s">
        <v>1200</v>
      </c>
      <c r="B227" s="22" t="s">
        <v>1201</v>
      </c>
      <c r="C227" s="22" t="s">
        <v>1201</v>
      </c>
      <c r="D227" s="23" t="s">
        <v>561</v>
      </c>
      <c r="F227" s="97" t="s">
        <v>285</v>
      </c>
      <c r="H227" s="22" t="s">
        <v>1202</v>
      </c>
      <c r="I227" s="10" t="s">
        <v>287</v>
      </c>
      <c r="K227" s="22" t="s">
        <v>1203</v>
      </c>
      <c r="L227" s="22" t="s">
        <v>1204</v>
      </c>
      <c r="M227" s="23" t="s">
        <v>1168</v>
      </c>
      <c r="N227" s="22" t="s">
        <v>1205</v>
      </c>
    </row>
    <row r="228" s="7" customFormat="1" customHeight="1" spans="1:14">
      <c r="A228" s="21" t="s">
        <v>1206</v>
      </c>
      <c r="B228" s="22" t="s">
        <v>1207</v>
      </c>
      <c r="C228" s="22" t="s">
        <v>1208</v>
      </c>
      <c r="D228" s="23" t="s">
        <v>561</v>
      </c>
      <c r="F228" s="97" t="s">
        <v>285</v>
      </c>
      <c r="H228" s="22" t="s">
        <v>1209</v>
      </c>
      <c r="I228" s="10" t="s">
        <v>287</v>
      </c>
      <c r="K228" s="22" t="s">
        <v>1210</v>
      </c>
      <c r="L228" s="22" t="s">
        <v>1210</v>
      </c>
      <c r="M228" s="23" t="s">
        <v>1168</v>
      </c>
      <c r="N228" s="22" t="s">
        <v>1211</v>
      </c>
    </row>
    <row r="229" s="7" customFormat="1" customHeight="1" spans="1:14">
      <c r="A229" s="21" t="s">
        <v>1212</v>
      </c>
      <c r="B229" s="22" t="s">
        <v>1213</v>
      </c>
      <c r="C229" s="22" t="s">
        <v>1214</v>
      </c>
      <c r="D229" s="23" t="s">
        <v>561</v>
      </c>
      <c r="F229" s="97" t="s">
        <v>285</v>
      </c>
      <c r="H229" s="22" t="s">
        <v>1215</v>
      </c>
      <c r="I229" s="10" t="s">
        <v>287</v>
      </c>
      <c r="K229" s="22" t="s">
        <v>1216</v>
      </c>
      <c r="L229" s="22" t="s">
        <v>1217</v>
      </c>
      <c r="M229" s="23" t="s">
        <v>1168</v>
      </c>
      <c r="N229" s="22" t="s">
        <v>1218</v>
      </c>
    </row>
    <row r="230" s="7" customFormat="1" customHeight="1" spans="1:14">
      <c r="A230" s="21" t="s">
        <v>1219</v>
      </c>
      <c r="B230" s="22" t="s">
        <v>1219</v>
      </c>
      <c r="C230" s="22" t="s">
        <v>1219</v>
      </c>
      <c r="D230" s="23" t="s">
        <v>561</v>
      </c>
      <c r="F230" s="97" t="s">
        <v>285</v>
      </c>
      <c r="H230" s="22" t="s">
        <v>1220</v>
      </c>
      <c r="I230" s="10" t="s">
        <v>287</v>
      </c>
      <c r="K230" s="22" t="s">
        <v>1221</v>
      </c>
      <c r="L230" s="22" t="s">
        <v>1222</v>
      </c>
      <c r="M230" s="23" t="s">
        <v>1168</v>
      </c>
      <c r="N230" s="22" t="s">
        <v>1223</v>
      </c>
    </row>
    <row r="231" s="7" customFormat="1" customHeight="1" spans="1:14">
      <c r="A231" s="15" t="s">
        <v>1224</v>
      </c>
      <c r="B231" s="16" t="s">
        <v>1225</v>
      </c>
      <c r="C231" s="16" t="s">
        <v>1224</v>
      </c>
      <c r="D231" s="16" t="s">
        <v>1224</v>
      </c>
      <c r="F231" s="97" t="s">
        <v>285</v>
      </c>
      <c r="H231" s="16" t="s">
        <v>1226</v>
      </c>
      <c r="I231" s="7" t="s">
        <v>1227</v>
      </c>
      <c r="K231" s="16" t="s">
        <v>1228</v>
      </c>
      <c r="L231" s="16"/>
      <c r="M231" s="16" t="s">
        <v>870</v>
      </c>
      <c r="N231" s="26">
        <v>77230</v>
      </c>
    </row>
    <row r="232" s="7" customFormat="1" customHeight="1" spans="1:14">
      <c r="A232" s="15" t="s">
        <v>1229</v>
      </c>
      <c r="B232" s="16" t="s">
        <v>1230</v>
      </c>
      <c r="C232" s="16" t="s">
        <v>1229</v>
      </c>
      <c r="D232" s="16" t="s">
        <v>1229</v>
      </c>
      <c r="F232" s="97" t="s">
        <v>285</v>
      </c>
      <c r="H232" s="16" t="s">
        <v>1231</v>
      </c>
      <c r="I232" s="7" t="s">
        <v>1232</v>
      </c>
      <c r="K232" s="16" t="s">
        <v>1233</v>
      </c>
      <c r="L232" s="16"/>
      <c r="M232" s="16" t="s">
        <v>870</v>
      </c>
      <c r="N232" s="26">
        <v>95310</v>
      </c>
    </row>
    <row r="233" s="7" customFormat="1" customHeight="1" spans="1:14">
      <c r="A233" s="15" t="s">
        <v>1234</v>
      </c>
      <c r="B233" s="16" t="s">
        <v>1235</v>
      </c>
      <c r="C233" s="16" t="s">
        <v>1234</v>
      </c>
      <c r="D233" s="16" t="s">
        <v>1234</v>
      </c>
      <c r="F233" s="97" t="s">
        <v>285</v>
      </c>
      <c r="H233" s="16" t="s">
        <v>1236</v>
      </c>
      <c r="I233" s="7" t="s">
        <v>1237</v>
      </c>
      <c r="K233" s="16" t="s">
        <v>1238</v>
      </c>
      <c r="L233" s="16" t="s">
        <v>1239</v>
      </c>
      <c r="M233" s="16" t="s">
        <v>870</v>
      </c>
      <c r="N233" s="26">
        <v>77550</v>
      </c>
    </row>
    <row r="234" s="7" customFormat="1" customHeight="1" spans="1:14">
      <c r="A234" s="15" t="s">
        <v>1240</v>
      </c>
      <c r="B234" s="16" t="s">
        <v>1241</v>
      </c>
      <c r="C234" s="15" t="s">
        <v>1240</v>
      </c>
      <c r="D234" s="16" t="s">
        <v>1242</v>
      </c>
      <c r="F234" s="97" t="s">
        <v>285</v>
      </c>
      <c r="H234" s="16" t="s">
        <v>1243</v>
      </c>
      <c r="I234" s="7" t="s">
        <v>933</v>
      </c>
      <c r="K234" s="27" t="s">
        <v>1244</v>
      </c>
      <c r="L234" s="16"/>
      <c r="M234" s="16" t="s">
        <v>870</v>
      </c>
      <c r="N234" s="26">
        <v>77550</v>
      </c>
    </row>
    <row r="235" s="7" customFormat="1" customHeight="1" spans="1:14">
      <c r="A235" s="15" t="s">
        <v>1245</v>
      </c>
      <c r="B235" s="16" t="s">
        <v>1246</v>
      </c>
      <c r="C235" s="16" t="s">
        <v>1245</v>
      </c>
      <c r="D235" s="16" t="s">
        <v>1245</v>
      </c>
      <c r="F235" s="97" t="s">
        <v>285</v>
      </c>
      <c r="H235" s="16" t="s">
        <v>1247</v>
      </c>
      <c r="I235" s="7" t="s">
        <v>287</v>
      </c>
      <c r="K235" s="16" t="s">
        <v>1248</v>
      </c>
      <c r="L235" s="16" t="s">
        <v>1249</v>
      </c>
      <c r="M235" s="16" t="s">
        <v>870</v>
      </c>
      <c r="N235" s="26">
        <v>95500</v>
      </c>
    </row>
    <row r="236" s="7" customFormat="1" customHeight="1" spans="1:14">
      <c r="A236" s="15" t="s">
        <v>1250</v>
      </c>
      <c r="B236" s="16" t="s">
        <v>1251</v>
      </c>
      <c r="C236" s="16" t="s">
        <v>1250</v>
      </c>
      <c r="D236" s="16" t="s">
        <v>1250</v>
      </c>
      <c r="F236" s="97" t="s">
        <v>285</v>
      </c>
      <c r="H236" s="16" t="s">
        <v>1252</v>
      </c>
      <c r="I236" s="7" t="s">
        <v>287</v>
      </c>
      <c r="K236" s="16" t="s">
        <v>1253</v>
      </c>
      <c r="L236" s="16"/>
      <c r="M236" s="16" t="s">
        <v>870</v>
      </c>
      <c r="N236" s="26">
        <v>60440</v>
      </c>
    </row>
    <row r="237" s="7" customFormat="1" customHeight="1" spans="1:14">
      <c r="A237" s="15" t="s">
        <v>1254</v>
      </c>
      <c r="B237" s="16" t="s">
        <v>1255</v>
      </c>
      <c r="C237" s="16" t="s">
        <v>1254</v>
      </c>
      <c r="D237" s="16" t="s">
        <v>1254</v>
      </c>
      <c r="F237" s="97" t="s">
        <v>285</v>
      </c>
      <c r="H237" s="16" t="s">
        <v>1256</v>
      </c>
      <c r="I237" s="7" t="s">
        <v>287</v>
      </c>
      <c r="K237" s="16" t="s">
        <v>1257</v>
      </c>
      <c r="L237" s="16"/>
      <c r="M237" s="16" t="s">
        <v>741</v>
      </c>
      <c r="N237" s="26">
        <v>19171</v>
      </c>
    </row>
    <row r="238" s="7" customFormat="1" customHeight="1" spans="1:14">
      <c r="A238" s="15" t="s">
        <v>1258</v>
      </c>
      <c r="B238" s="16" t="s">
        <v>1259</v>
      </c>
      <c r="C238" s="16" t="s">
        <v>1260</v>
      </c>
      <c r="D238" s="16" t="s">
        <v>1261</v>
      </c>
      <c r="F238" s="97" t="s">
        <v>285</v>
      </c>
      <c r="H238" s="16" t="s">
        <v>1262</v>
      </c>
      <c r="I238" s="7" t="s">
        <v>287</v>
      </c>
      <c r="K238" s="16" t="s">
        <v>1263</v>
      </c>
      <c r="L238" s="16"/>
      <c r="M238" s="16" t="s">
        <v>1168</v>
      </c>
      <c r="N238" s="26">
        <v>66340</v>
      </c>
    </row>
    <row r="239" s="7" customFormat="1" customHeight="1" spans="1:14">
      <c r="A239" s="15" t="s">
        <v>1264</v>
      </c>
      <c r="B239" s="16" t="s">
        <v>1265</v>
      </c>
      <c r="C239" s="16" t="s">
        <v>1266</v>
      </c>
      <c r="D239" s="16" t="s">
        <v>1267</v>
      </c>
      <c r="F239" s="97" t="s">
        <v>285</v>
      </c>
      <c r="H239" s="7" t="s">
        <v>1173</v>
      </c>
      <c r="I239" s="7" t="s">
        <v>1268</v>
      </c>
      <c r="K239" s="7" t="s">
        <v>1263</v>
      </c>
      <c r="M239" s="16" t="s">
        <v>1168</v>
      </c>
      <c r="N239" s="26">
        <v>66340</v>
      </c>
    </row>
    <row r="240" s="7" customFormat="1" customHeight="1" spans="1:14">
      <c r="A240" s="15" t="s">
        <v>1269</v>
      </c>
      <c r="B240" s="16" t="s">
        <v>1270</v>
      </c>
      <c r="C240" s="15" t="s">
        <v>1269</v>
      </c>
      <c r="D240" s="15" t="s">
        <v>1269</v>
      </c>
      <c r="F240" s="97" t="s">
        <v>285</v>
      </c>
      <c r="H240" s="7" t="s">
        <v>1173</v>
      </c>
      <c r="I240" s="7" t="s">
        <v>1271</v>
      </c>
      <c r="K240" s="7" t="s">
        <v>1263</v>
      </c>
      <c r="M240" s="16" t="s">
        <v>1168</v>
      </c>
      <c r="N240" s="26">
        <v>66340</v>
      </c>
    </row>
    <row r="241" s="7" customFormat="1" customHeight="1" spans="1:14">
      <c r="A241" s="21" t="s">
        <v>1170</v>
      </c>
      <c r="B241" s="22" t="s">
        <v>1171</v>
      </c>
      <c r="C241" s="22" t="s">
        <v>1172</v>
      </c>
      <c r="D241" s="23" t="s">
        <v>561</v>
      </c>
      <c r="F241" s="97" t="s">
        <v>285</v>
      </c>
      <c r="H241" s="22" t="s">
        <v>1173</v>
      </c>
      <c r="I241" s="10" t="s">
        <v>287</v>
      </c>
      <c r="K241" s="22" t="s">
        <v>1174</v>
      </c>
      <c r="L241" s="22" t="s">
        <v>1175</v>
      </c>
      <c r="M241" s="23" t="s">
        <v>1168</v>
      </c>
      <c r="N241" s="22" t="s">
        <v>1176</v>
      </c>
    </row>
    <row r="242" s="7" customFormat="1" customHeight="1" spans="1:14">
      <c r="A242" s="15" t="s">
        <v>1272</v>
      </c>
      <c r="B242" s="16" t="s">
        <v>1273</v>
      </c>
      <c r="C242" s="16" t="s">
        <v>1274</v>
      </c>
      <c r="D242" s="100" t="s">
        <v>1275</v>
      </c>
      <c r="F242" s="97" t="s">
        <v>285</v>
      </c>
      <c r="H242" s="16" t="s">
        <v>1276</v>
      </c>
      <c r="I242" s="7" t="s">
        <v>287</v>
      </c>
      <c r="K242" s="16" t="s">
        <v>1277</v>
      </c>
      <c r="L242" s="16"/>
      <c r="M242" s="16" t="s">
        <v>1168</v>
      </c>
      <c r="N242" s="26">
        <v>69100</v>
      </c>
    </row>
    <row r="243" s="7" customFormat="1" customHeight="1" spans="1:14">
      <c r="A243" s="15" t="s">
        <v>1278</v>
      </c>
      <c r="B243" s="16" t="s">
        <v>1279</v>
      </c>
      <c r="C243" s="16" t="s">
        <v>1280</v>
      </c>
      <c r="D243" s="16" t="s">
        <v>1281</v>
      </c>
      <c r="F243" s="97" t="s">
        <v>285</v>
      </c>
      <c r="H243" s="16" t="s">
        <v>1282</v>
      </c>
      <c r="I243" s="7" t="s">
        <v>287</v>
      </c>
      <c r="K243" s="16" t="s">
        <v>1277</v>
      </c>
      <c r="L243" s="16"/>
      <c r="M243" s="16" t="s">
        <v>1168</v>
      </c>
      <c r="N243" s="26">
        <v>69100</v>
      </c>
    </row>
    <row r="244" s="7" customFormat="1" customHeight="1" spans="1:14">
      <c r="A244" s="15" t="s">
        <v>1283</v>
      </c>
      <c r="B244" s="16" t="s">
        <v>1284</v>
      </c>
      <c r="C244" s="16" t="s">
        <v>1285</v>
      </c>
      <c r="D244" s="16" t="s">
        <v>1286</v>
      </c>
      <c r="F244" s="97" t="s">
        <v>285</v>
      </c>
      <c r="H244" s="16" t="s">
        <v>1287</v>
      </c>
      <c r="I244" s="7" t="s">
        <v>287</v>
      </c>
      <c r="K244" s="16" t="s">
        <v>1288</v>
      </c>
      <c r="L244" s="16"/>
      <c r="M244" s="16" t="s">
        <v>1168</v>
      </c>
      <c r="N244" s="26">
        <v>69100</v>
      </c>
    </row>
    <row r="245" s="7" customFormat="1" customHeight="1" spans="1:14">
      <c r="A245" s="15" t="s">
        <v>1289</v>
      </c>
      <c r="B245" s="16" t="s">
        <v>1290</v>
      </c>
      <c r="C245" s="16" t="s">
        <v>1291</v>
      </c>
      <c r="D245" s="16" t="s">
        <v>1292</v>
      </c>
      <c r="F245" s="97" t="s">
        <v>285</v>
      </c>
      <c r="H245" s="16" t="s">
        <v>1293</v>
      </c>
      <c r="I245" s="7" t="s">
        <v>287</v>
      </c>
      <c r="K245" s="16" t="s">
        <v>1294</v>
      </c>
      <c r="L245" s="16"/>
      <c r="M245" s="16" t="s">
        <v>1168</v>
      </c>
      <c r="N245" s="26">
        <v>69100</v>
      </c>
    </row>
    <row r="246" s="7" customFormat="1" customHeight="1" spans="1:14">
      <c r="A246" s="15" t="s">
        <v>1295</v>
      </c>
      <c r="B246" s="16" t="s">
        <v>1296</v>
      </c>
      <c r="C246" s="16" t="s">
        <v>1297</v>
      </c>
      <c r="D246" s="16" t="s">
        <v>1298</v>
      </c>
      <c r="F246" s="97" t="s">
        <v>285</v>
      </c>
      <c r="H246" s="16" t="s">
        <v>1299</v>
      </c>
      <c r="I246" s="7" t="s">
        <v>287</v>
      </c>
      <c r="K246" s="16" t="s">
        <v>1277</v>
      </c>
      <c r="L246" s="16"/>
      <c r="M246" s="16" t="s">
        <v>1168</v>
      </c>
      <c r="N246" s="26">
        <v>69100</v>
      </c>
    </row>
    <row r="247" s="7" customFormat="1" customHeight="1" spans="1:14">
      <c r="A247" s="15" t="s">
        <v>1300</v>
      </c>
      <c r="B247" s="16" t="s">
        <v>1301</v>
      </c>
      <c r="C247" s="16" t="s">
        <v>1302</v>
      </c>
      <c r="D247" s="16" t="s">
        <v>1303</v>
      </c>
      <c r="F247" s="97" t="s">
        <v>285</v>
      </c>
      <c r="H247" s="28" t="s">
        <v>1304</v>
      </c>
      <c r="I247" s="7" t="s">
        <v>287</v>
      </c>
      <c r="K247" s="16" t="s">
        <v>1305</v>
      </c>
      <c r="L247" s="16"/>
      <c r="M247" s="16" t="s">
        <v>1168</v>
      </c>
      <c r="N247" s="26">
        <v>69100</v>
      </c>
    </row>
    <row r="248" s="7" customFormat="1" customHeight="1" spans="1:14">
      <c r="A248" s="15" t="s">
        <v>1306</v>
      </c>
      <c r="B248" s="16" t="s">
        <v>1307</v>
      </c>
      <c r="C248" s="16" t="s">
        <v>1308</v>
      </c>
      <c r="D248" s="16" t="s">
        <v>1309</v>
      </c>
      <c r="F248" s="97" t="s">
        <v>285</v>
      </c>
      <c r="H248" s="16" t="s">
        <v>1310</v>
      </c>
      <c r="I248" s="7" t="s">
        <v>287</v>
      </c>
      <c r="K248" s="16" t="s">
        <v>1311</v>
      </c>
      <c r="L248" s="16"/>
      <c r="M248" s="16" t="s">
        <v>1168</v>
      </c>
      <c r="N248" s="26">
        <v>69100</v>
      </c>
    </row>
    <row r="249" s="7" customFormat="1" customHeight="1" spans="1:14">
      <c r="A249" s="15" t="s">
        <v>1312</v>
      </c>
      <c r="B249" s="16" t="s">
        <v>1313</v>
      </c>
      <c r="C249" s="16" t="s">
        <v>1314</v>
      </c>
      <c r="D249" s="16" t="s">
        <v>1315</v>
      </c>
      <c r="F249" s="97" t="s">
        <v>285</v>
      </c>
      <c r="H249" s="16" t="s">
        <v>1316</v>
      </c>
      <c r="I249" s="7" t="s">
        <v>287</v>
      </c>
      <c r="K249" s="16" t="s">
        <v>1277</v>
      </c>
      <c r="L249" s="16"/>
      <c r="M249" s="16" t="s">
        <v>1168</v>
      </c>
      <c r="N249" s="26">
        <v>69100</v>
      </c>
    </row>
    <row r="250" customHeight="1" spans="1:14">
      <c r="A250" s="11" t="s">
        <v>1317</v>
      </c>
      <c r="B250" s="7" t="s">
        <v>1317</v>
      </c>
      <c r="C250" s="7" t="s">
        <v>1317</v>
      </c>
      <c r="D250" s="29" t="s">
        <v>561</v>
      </c>
      <c r="F250" s="97" t="s">
        <v>285</v>
      </c>
      <c r="H250" s="7" t="s">
        <v>1318</v>
      </c>
      <c r="I250" s="29" t="s">
        <v>287</v>
      </c>
      <c r="K250" s="7" t="s">
        <v>1319</v>
      </c>
      <c r="M250" s="7" t="s">
        <v>961</v>
      </c>
      <c r="N250" s="7">
        <v>34474</v>
      </c>
    </row>
    <row r="251" customHeight="1" spans="1:14">
      <c r="A251" s="11" t="s">
        <v>1320</v>
      </c>
      <c r="B251" s="7" t="s">
        <v>1321</v>
      </c>
      <c r="C251" s="11" t="s">
        <v>1320</v>
      </c>
      <c r="D251" s="7" t="s">
        <v>1322</v>
      </c>
      <c r="F251" s="97" t="s">
        <v>285</v>
      </c>
      <c r="H251" s="30" t="s">
        <v>1323</v>
      </c>
      <c r="I251" s="7" t="s">
        <v>287</v>
      </c>
      <c r="K251" s="7" t="s">
        <v>1324</v>
      </c>
      <c r="L251" s="7" t="s">
        <v>1325</v>
      </c>
      <c r="M251" s="7" t="s">
        <v>1168</v>
      </c>
      <c r="N251" s="7" t="s">
        <v>1326</v>
      </c>
    </row>
    <row r="252" customHeight="1" spans="1:14">
      <c r="A252" s="11" t="s">
        <v>1327</v>
      </c>
      <c r="B252" s="11" t="s">
        <v>1327</v>
      </c>
      <c r="C252" s="11" t="s">
        <v>1327</v>
      </c>
      <c r="D252" s="7" t="s">
        <v>1328</v>
      </c>
      <c r="F252" s="97" t="s">
        <v>285</v>
      </c>
      <c r="H252" s="7" t="s">
        <v>1329</v>
      </c>
      <c r="I252" s="7" t="s">
        <v>1330</v>
      </c>
      <c r="K252" s="7" t="s">
        <v>1331</v>
      </c>
      <c r="M252" s="7" t="s">
        <v>870</v>
      </c>
      <c r="N252" s="7">
        <v>59220</v>
      </c>
    </row>
    <row r="253" customHeight="1" spans="1:14">
      <c r="A253" s="11" t="s">
        <v>1332</v>
      </c>
      <c r="B253" s="7" t="s">
        <v>1332</v>
      </c>
      <c r="C253" s="7" t="s">
        <v>1332</v>
      </c>
      <c r="D253" s="7" t="s">
        <v>561</v>
      </c>
      <c r="F253" s="97" t="s">
        <v>285</v>
      </c>
      <c r="H253" s="7" t="s">
        <v>1333</v>
      </c>
      <c r="I253" s="7" t="s">
        <v>287</v>
      </c>
      <c r="K253" s="7" t="s">
        <v>974</v>
      </c>
      <c r="M253" s="7" t="s">
        <v>961</v>
      </c>
      <c r="N253" s="7">
        <v>89522</v>
      </c>
    </row>
    <row r="254" customHeight="1" spans="1:14">
      <c r="A254" s="11" t="s">
        <v>1334</v>
      </c>
      <c r="B254" s="7" t="s">
        <v>1334</v>
      </c>
      <c r="C254" s="7" t="s">
        <v>1334</v>
      </c>
      <c r="D254" s="7" t="s">
        <v>1335</v>
      </c>
      <c r="E254" s="7" t="s">
        <v>561</v>
      </c>
      <c r="F254" s="97" t="s">
        <v>285</v>
      </c>
      <c r="H254" s="7" t="s">
        <v>1336</v>
      </c>
      <c r="I254" s="7" t="s">
        <v>287</v>
      </c>
      <c r="K254" s="7" t="s">
        <v>1337</v>
      </c>
      <c r="L254" s="7" t="s">
        <v>1060</v>
      </c>
      <c r="M254" s="7" t="s">
        <v>961</v>
      </c>
      <c r="N254" s="7">
        <v>35423</v>
      </c>
    </row>
    <row r="255" customHeight="1" spans="1:14">
      <c r="A255" s="11" t="s">
        <v>1338</v>
      </c>
      <c r="B255" s="7" t="s">
        <v>1338</v>
      </c>
      <c r="C255" s="7" t="s">
        <v>1338</v>
      </c>
      <c r="D255" s="7" t="s">
        <v>1339</v>
      </c>
      <c r="F255" s="97" t="s">
        <v>285</v>
      </c>
      <c r="H255" s="7" t="s">
        <v>1340</v>
      </c>
      <c r="I255" s="7" t="s">
        <v>1341</v>
      </c>
      <c r="K255" s="7" t="s">
        <v>1342</v>
      </c>
      <c r="M255" s="7" t="s">
        <v>1343</v>
      </c>
      <c r="N255" s="7" t="s">
        <v>1344</v>
      </c>
    </row>
    <row r="256" ht="20" customHeight="1" spans="1:14">
      <c r="A256" s="11" t="s">
        <v>1345</v>
      </c>
      <c r="B256" s="7" t="s">
        <v>1345</v>
      </c>
      <c r="C256" s="7" t="s">
        <v>1345</v>
      </c>
      <c r="D256" s="23" t="s">
        <v>561</v>
      </c>
      <c r="F256" s="97" t="s">
        <v>285</v>
      </c>
      <c r="H256" s="7" t="s">
        <v>1346</v>
      </c>
      <c r="I256" s="7" t="s">
        <v>287</v>
      </c>
      <c r="K256" s="7" t="s">
        <v>1347</v>
      </c>
      <c r="L256" s="7" t="s">
        <v>1021</v>
      </c>
      <c r="M256" s="7" t="s">
        <v>961</v>
      </c>
      <c r="N256" s="26">
        <v>76661</v>
      </c>
    </row>
    <row r="257" customHeight="1" spans="1:14">
      <c r="A257" s="31" t="s">
        <v>1348</v>
      </c>
      <c r="B257" s="7" t="s">
        <v>1349</v>
      </c>
      <c r="C257" s="7" t="s">
        <v>1348</v>
      </c>
      <c r="D257" s="23" t="s">
        <v>561</v>
      </c>
      <c r="E257" s="32"/>
      <c r="F257" s="97" t="s">
        <v>285</v>
      </c>
      <c r="H257" s="7" t="s">
        <v>1350</v>
      </c>
      <c r="I257" s="7" t="s">
        <v>287</v>
      </c>
      <c r="K257" s="7" t="s">
        <v>837</v>
      </c>
      <c r="L257" s="7" t="s">
        <v>838</v>
      </c>
      <c r="M257" s="7" t="s">
        <v>796</v>
      </c>
      <c r="N257" s="7">
        <v>24050</v>
      </c>
    </row>
    <row r="258" customHeight="1" spans="1:14">
      <c r="A258" s="11" t="s">
        <v>1351</v>
      </c>
      <c r="B258" s="25" t="s">
        <v>1351</v>
      </c>
      <c r="C258" s="25" t="s">
        <v>1352</v>
      </c>
      <c r="D258" s="10" t="s">
        <v>561</v>
      </c>
      <c r="E258" s="10" t="s">
        <v>1353</v>
      </c>
      <c r="F258" s="97" t="s">
        <v>285</v>
      </c>
      <c r="G258" s="10"/>
      <c r="H258" s="25" t="s">
        <v>1013</v>
      </c>
      <c r="I258" s="10" t="s">
        <v>287</v>
      </c>
      <c r="J258" s="10"/>
      <c r="K258" s="25" t="s">
        <v>1014</v>
      </c>
      <c r="L258" s="25" t="s">
        <v>965</v>
      </c>
      <c r="M258" s="10" t="s">
        <v>961</v>
      </c>
      <c r="N258" s="99" t="s">
        <v>1015</v>
      </c>
    </row>
    <row r="259" customHeight="1" spans="1:14">
      <c r="A259" s="11" t="s">
        <v>1354</v>
      </c>
      <c r="B259" s="7" t="s">
        <v>1354</v>
      </c>
      <c r="C259" s="7" t="s">
        <v>1354</v>
      </c>
      <c r="D259" s="10" t="s">
        <v>561</v>
      </c>
      <c r="F259" s="97" t="s">
        <v>285</v>
      </c>
      <c r="H259" s="7" t="s">
        <v>1355</v>
      </c>
      <c r="I259" s="7" t="s">
        <v>1356</v>
      </c>
      <c r="K259" s="7" t="s">
        <v>1357</v>
      </c>
      <c r="L259" s="7" t="s">
        <v>1358</v>
      </c>
      <c r="M259" s="7" t="s">
        <v>290</v>
      </c>
      <c r="N259" s="7" t="s">
        <v>1359</v>
      </c>
    </row>
    <row r="260" customHeight="1" spans="1:14">
      <c r="A260" s="11" t="s">
        <v>1360</v>
      </c>
      <c r="B260" s="7" t="s">
        <v>1361</v>
      </c>
      <c r="C260" s="7" t="s">
        <v>1361</v>
      </c>
      <c r="D260" s="7" t="s">
        <v>1360</v>
      </c>
      <c r="F260" s="7">
        <v>48537151117</v>
      </c>
      <c r="H260" s="7" t="s">
        <v>1362</v>
      </c>
      <c r="I260" s="7" t="s">
        <v>1363</v>
      </c>
      <c r="K260" s="7" t="s">
        <v>1364</v>
      </c>
      <c r="M260" s="7" t="s">
        <v>1168</v>
      </c>
      <c r="N260" s="7">
        <v>66340</v>
      </c>
    </row>
    <row r="261" customHeight="1" spans="1:14">
      <c r="A261" s="11" t="s">
        <v>1365</v>
      </c>
      <c r="B261" s="7" t="s">
        <v>1365</v>
      </c>
      <c r="C261" s="7" t="s">
        <v>1365</v>
      </c>
      <c r="D261" s="7" t="s">
        <v>1366</v>
      </c>
      <c r="F261" s="97" t="s">
        <v>285</v>
      </c>
      <c r="H261" s="7" t="s">
        <v>1367</v>
      </c>
      <c r="I261" s="7" t="s">
        <v>287</v>
      </c>
      <c r="K261" s="7" t="s">
        <v>1368</v>
      </c>
      <c r="L261" s="7" t="s">
        <v>1369</v>
      </c>
      <c r="M261" s="7" t="s">
        <v>870</v>
      </c>
      <c r="N261" s="7">
        <v>95250</v>
      </c>
    </row>
    <row r="262" ht="18" customHeight="1" spans="1:14">
      <c r="A262" s="7" t="s">
        <v>1370</v>
      </c>
      <c r="B262" s="7" t="s">
        <v>1370</v>
      </c>
      <c r="C262" s="7" t="s">
        <v>1370</v>
      </c>
      <c r="D262" s="7" t="s">
        <v>1371</v>
      </c>
      <c r="F262" s="97" t="s">
        <v>285</v>
      </c>
      <c r="H262" s="30" t="s">
        <v>1372</v>
      </c>
      <c r="I262" s="7" t="s">
        <v>1373</v>
      </c>
      <c r="K262" s="7" t="s">
        <v>1374</v>
      </c>
      <c r="L262" s="7" t="s">
        <v>1375</v>
      </c>
      <c r="M262" s="7" t="s">
        <v>796</v>
      </c>
      <c r="N262" s="97" t="s">
        <v>1376</v>
      </c>
    </row>
    <row r="263" customHeight="1" spans="1:14">
      <c r="A263" s="11" t="s">
        <v>1377</v>
      </c>
      <c r="B263" s="7" t="s">
        <v>1377</v>
      </c>
      <c r="C263" s="7" t="s">
        <v>1377</v>
      </c>
      <c r="D263" s="7" t="s">
        <v>1146</v>
      </c>
      <c r="E263" s="7" t="s">
        <v>1377</v>
      </c>
      <c r="F263" s="97" t="s">
        <v>1378</v>
      </c>
      <c r="H263" s="7" t="s">
        <v>1379</v>
      </c>
      <c r="I263" s="7" t="s">
        <v>287</v>
      </c>
      <c r="K263" s="7" t="s">
        <v>1380</v>
      </c>
      <c r="M263" s="7" t="s">
        <v>961</v>
      </c>
      <c r="N263" s="7">
        <v>45711</v>
      </c>
    </row>
    <row r="264" customHeight="1" spans="1:14">
      <c r="A264" s="11" t="s">
        <v>1381</v>
      </c>
      <c r="B264" s="7" t="s">
        <v>1381</v>
      </c>
      <c r="C264" s="7" t="s">
        <v>1381</v>
      </c>
      <c r="D264" s="7" t="s">
        <v>635</v>
      </c>
      <c r="F264" s="97" t="s">
        <v>285</v>
      </c>
      <c r="H264" s="7" t="s">
        <v>1382</v>
      </c>
      <c r="I264" s="7" t="s">
        <v>287</v>
      </c>
      <c r="K264" s="7" t="s">
        <v>662</v>
      </c>
      <c r="L264" s="7" t="s">
        <v>663</v>
      </c>
      <c r="M264" s="7" t="s">
        <v>639</v>
      </c>
      <c r="N264" s="7" t="s">
        <v>1383</v>
      </c>
    </row>
    <row r="265" customHeight="1" spans="1:14">
      <c r="A265" s="11" t="s">
        <v>1384</v>
      </c>
      <c r="B265" s="7" t="s">
        <v>1384</v>
      </c>
      <c r="C265" s="7" t="s">
        <v>1384</v>
      </c>
      <c r="D265" s="7" t="s">
        <v>1384</v>
      </c>
      <c r="F265" s="97" t="s">
        <v>285</v>
      </c>
      <c r="H265" s="7" t="s">
        <v>1385</v>
      </c>
      <c r="I265" s="7" t="s">
        <v>287</v>
      </c>
      <c r="K265" s="7" t="s">
        <v>1386</v>
      </c>
      <c r="L265" s="7" t="s">
        <v>1387</v>
      </c>
      <c r="M265" s="7" t="s">
        <v>1388</v>
      </c>
      <c r="N265" s="7">
        <v>63506</v>
      </c>
    </row>
    <row r="266" customHeight="1" spans="1:14">
      <c r="A266" s="11" t="s">
        <v>1389</v>
      </c>
      <c r="B266" s="7" t="s">
        <v>1389</v>
      </c>
      <c r="C266" s="7" t="s">
        <v>1389</v>
      </c>
      <c r="D266" s="23" t="s">
        <v>561</v>
      </c>
      <c r="F266" s="97" t="s">
        <v>285</v>
      </c>
      <c r="H266" s="7" t="s">
        <v>1390</v>
      </c>
      <c r="I266" s="7" t="s">
        <v>287</v>
      </c>
      <c r="K266" s="7" t="s">
        <v>1391</v>
      </c>
      <c r="L266" s="7" t="s">
        <v>1101</v>
      </c>
      <c r="M266" s="7" t="s">
        <v>961</v>
      </c>
      <c r="N266" s="7">
        <v>59425</v>
      </c>
    </row>
    <row r="267" customHeight="1" spans="1:14">
      <c r="A267" s="11" t="s">
        <v>1392</v>
      </c>
      <c r="B267" s="7" t="s">
        <v>1392</v>
      </c>
      <c r="C267" s="7" t="s">
        <v>1392</v>
      </c>
      <c r="D267" s="23" t="s">
        <v>561</v>
      </c>
      <c r="F267" s="7">
        <v>1234567890</v>
      </c>
      <c r="H267" s="7" t="s">
        <v>1393</v>
      </c>
      <c r="I267" s="7" t="s">
        <v>287</v>
      </c>
      <c r="K267" s="7" t="s">
        <v>1394</v>
      </c>
      <c r="L267" s="7" t="s">
        <v>1395</v>
      </c>
      <c r="M267" s="7" t="s">
        <v>639</v>
      </c>
      <c r="N267" s="7" t="s">
        <v>1396</v>
      </c>
    </row>
    <row r="268" customHeight="1" spans="1:14">
      <c r="A268" s="11" t="s">
        <v>1397</v>
      </c>
      <c r="B268" s="7" t="s">
        <v>1397</v>
      </c>
      <c r="C268" s="7" t="s">
        <v>1397</v>
      </c>
      <c r="D268" s="7" t="s">
        <v>1398</v>
      </c>
      <c r="E268" s="33"/>
      <c r="F268" s="96" t="s">
        <v>285</v>
      </c>
      <c r="G268" s="33"/>
      <c r="H268" s="33" t="s">
        <v>1399</v>
      </c>
      <c r="I268" s="33" t="s">
        <v>287</v>
      </c>
      <c r="J268" s="33"/>
      <c r="K268" s="7" t="s">
        <v>1400</v>
      </c>
      <c r="L268" s="33" t="s">
        <v>1077</v>
      </c>
      <c r="M268" s="7" t="s">
        <v>961</v>
      </c>
      <c r="N268" s="34">
        <v>65479</v>
      </c>
    </row>
    <row r="269" customHeight="1" spans="1:14">
      <c r="A269" s="11" t="s">
        <v>620</v>
      </c>
      <c r="B269" s="7" t="s">
        <v>621</v>
      </c>
      <c r="C269" s="7" t="s">
        <v>621</v>
      </c>
      <c r="D269" s="7" t="s">
        <v>622</v>
      </c>
      <c r="F269" s="97" t="s">
        <v>285</v>
      </c>
      <c r="H269" s="7" t="s">
        <v>623</v>
      </c>
      <c r="I269" s="7" t="s">
        <v>624</v>
      </c>
      <c r="K269" s="7" t="s">
        <v>625</v>
      </c>
      <c r="L269" s="7" t="s">
        <v>336</v>
      </c>
      <c r="M269" s="7" t="s">
        <v>290</v>
      </c>
      <c r="N269" s="7" t="s">
        <v>626</v>
      </c>
    </row>
    <row r="270" customHeight="1" spans="1:14">
      <c r="A270" s="11" t="s">
        <v>1401</v>
      </c>
      <c r="B270" s="7" t="s">
        <v>1401</v>
      </c>
      <c r="C270" s="7" t="s">
        <v>1401</v>
      </c>
      <c r="D270" s="23" t="s">
        <v>561</v>
      </c>
      <c r="F270" s="97" t="s">
        <v>285</v>
      </c>
      <c r="H270" s="7" t="s">
        <v>1402</v>
      </c>
      <c r="I270" s="7" t="s">
        <v>287</v>
      </c>
      <c r="K270" s="7" t="s">
        <v>1403</v>
      </c>
      <c r="L270" s="7" t="s">
        <v>1101</v>
      </c>
      <c r="M270" s="7" t="s">
        <v>961</v>
      </c>
      <c r="N270" s="7">
        <v>52477</v>
      </c>
    </row>
    <row r="271" customHeight="1" spans="1:14">
      <c r="A271" s="11" t="s">
        <v>1404</v>
      </c>
      <c r="B271" s="7" t="s">
        <v>1404</v>
      </c>
      <c r="C271" s="7" t="s">
        <v>1404</v>
      </c>
      <c r="D271" s="7" t="s">
        <v>1405</v>
      </c>
      <c r="F271" s="97" t="s">
        <v>285</v>
      </c>
      <c r="H271" s="7" t="s">
        <v>1406</v>
      </c>
      <c r="I271" s="7" t="s">
        <v>287</v>
      </c>
      <c r="K271" s="7" t="s">
        <v>324</v>
      </c>
      <c r="L271" s="7" t="s">
        <v>1407</v>
      </c>
      <c r="M271" s="7" t="s">
        <v>290</v>
      </c>
      <c r="N271" s="7" t="s">
        <v>326</v>
      </c>
    </row>
    <row r="272" customHeight="1" spans="1:14">
      <c r="A272" s="11" t="s">
        <v>1408</v>
      </c>
      <c r="B272" s="7" t="s">
        <v>1408</v>
      </c>
      <c r="C272" s="7" t="s">
        <v>1408</v>
      </c>
      <c r="D272" s="7" t="s">
        <v>1409</v>
      </c>
      <c r="F272" s="97" t="s">
        <v>285</v>
      </c>
      <c r="H272" s="7" t="s">
        <v>1410</v>
      </c>
      <c r="I272" s="7" t="s">
        <v>1411</v>
      </c>
      <c r="K272" s="7" t="s">
        <v>311</v>
      </c>
      <c r="M272" s="7" t="s">
        <v>290</v>
      </c>
      <c r="N272" s="7" t="s">
        <v>479</v>
      </c>
    </row>
    <row r="273" customHeight="1" spans="1:14">
      <c r="A273" s="11" t="s">
        <v>1412</v>
      </c>
      <c r="B273" s="7" t="s">
        <v>1224</v>
      </c>
      <c r="C273" s="7" t="s">
        <v>1224</v>
      </c>
      <c r="D273" s="7" t="s">
        <v>628</v>
      </c>
      <c r="F273" s="97" t="s">
        <v>285</v>
      </c>
      <c r="H273" s="7" t="s">
        <v>1413</v>
      </c>
      <c r="I273" s="7" t="s">
        <v>935</v>
      </c>
      <c r="K273" s="7" t="s">
        <v>1228</v>
      </c>
      <c r="L273" s="7" t="s">
        <v>1414</v>
      </c>
      <c r="M273" s="7" t="s">
        <v>870</v>
      </c>
      <c r="N273" s="7">
        <v>77230</v>
      </c>
    </row>
    <row r="274" customHeight="1" spans="1:14">
      <c r="A274" s="11" t="s">
        <v>1415</v>
      </c>
      <c r="B274" s="7" t="s">
        <v>1415</v>
      </c>
      <c r="C274" s="7" t="s">
        <v>1415</v>
      </c>
      <c r="D274" s="7" t="s">
        <v>635</v>
      </c>
      <c r="F274" s="97" t="s">
        <v>285</v>
      </c>
      <c r="H274" s="7" t="s">
        <v>1416</v>
      </c>
      <c r="I274" s="7" t="s">
        <v>287</v>
      </c>
      <c r="K274" s="7" t="s">
        <v>1417</v>
      </c>
      <c r="L274" s="7" t="s">
        <v>1418</v>
      </c>
      <c r="M274" s="7" t="s">
        <v>639</v>
      </c>
      <c r="N274" s="7" t="s">
        <v>1419</v>
      </c>
    </row>
    <row r="275" customHeight="1" spans="1:14">
      <c r="A275" s="11" t="s">
        <v>1420</v>
      </c>
      <c r="B275" s="7" t="s">
        <v>1421</v>
      </c>
      <c r="C275" s="7" t="s">
        <v>1420</v>
      </c>
      <c r="D275" s="7" t="s">
        <v>1420</v>
      </c>
      <c r="F275" s="97" t="s">
        <v>285</v>
      </c>
      <c r="H275" s="7" t="s">
        <v>1422</v>
      </c>
      <c r="I275" s="7" t="s">
        <v>287</v>
      </c>
      <c r="K275" s="7" t="s">
        <v>1423</v>
      </c>
      <c r="M275" s="7" t="s">
        <v>290</v>
      </c>
      <c r="N275" s="7" t="s">
        <v>1424</v>
      </c>
    </row>
    <row r="276" customHeight="1" spans="1:14">
      <c r="A276" s="11" t="s">
        <v>1425</v>
      </c>
      <c r="B276" s="7" t="s">
        <v>1425</v>
      </c>
      <c r="C276" s="7" t="s">
        <v>1426</v>
      </c>
      <c r="D276" s="7" t="s">
        <v>1426</v>
      </c>
      <c r="F276" s="97" t="s">
        <v>285</v>
      </c>
      <c r="H276" s="7" t="s">
        <v>1427</v>
      </c>
      <c r="I276" s="7" t="s">
        <v>287</v>
      </c>
      <c r="K276" s="7" t="s">
        <v>1428</v>
      </c>
      <c r="L276" s="7" t="s">
        <v>1429</v>
      </c>
      <c r="M276" s="7" t="s">
        <v>961</v>
      </c>
      <c r="N276" s="7">
        <v>50126</v>
      </c>
    </row>
    <row r="277" customHeight="1" spans="1:14">
      <c r="A277" s="11" t="s">
        <v>1430</v>
      </c>
      <c r="B277" s="7" t="s">
        <v>1430</v>
      </c>
      <c r="C277" s="7" t="s">
        <v>1430</v>
      </c>
      <c r="D277" s="7" t="s">
        <v>561</v>
      </c>
      <c r="F277" s="97" t="s">
        <v>285</v>
      </c>
      <c r="H277" s="7" t="s">
        <v>1431</v>
      </c>
      <c r="I277" s="7" t="s">
        <v>287</v>
      </c>
      <c r="K277" s="7" t="s">
        <v>1432</v>
      </c>
      <c r="L277" s="7" t="s">
        <v>547</v>
      </c>
      <c r="M277" s="7" t="s">
        <v>290</v>
      </c>
      <c r="N277" s="7" t="s">
        <v>1433</v>
      </c>
    </row>
    <row r="278" customHeight="1" spans="1:14">
      <c r="A278" s="11" t="s">
        <v>1434</v>
      </c>
      <c r="B278" s="7" t="s">
        <v>1434</v>
      </c>
      <c r="C278" s="7" t="s">
        <v>1434</v>
      </c>
      <c r="D278" s="7" t="s">
        <v>561</v>
      </c>
      <c r="F278" s="97" t="s">
        <v>285</v>
      </c>
      <c r="H278" s="7" t="s">
        <v>1435</v>
      </c>
      <c r="I278" s="7" t="s">
        <v>287</v>
      </c>
      <c r="K278" s="7" t="s">
        <v>978</v>
      </c>
      <c r="L278" s="7" t="s">
        <v>979</v>
      </c>
      <c r="M278" s="7" t="s">
        <v>961</v>
      </c>
      <c r="N278" s="7">
        <v>31629</v>
      </c>
    </row>
    <row r="279" customHeight="1" spans="1:14">
      <c r="A279" s="11" t="s">
        <v>1436</v>
      </c>
      <c r="B279" s="7" t="s">
        <v>1436</v>
      </c>
      <c r="C279" s="7" t="s">
        <v>1436</v>
      </c>
      <c r="D279" s="7" t="s">
        <v>1437</v>
      </c>
      <c r="F279" s="97" t="s">
        <v>285</v>
      </c>
      <c r="H279" s="7" t="s">
        <v>1438</v>
      </c>
      <c r="K279" s="7" t="s">
        <v>1439</v>
      </c>
      <c r="M279" s="7" t="s">
        <v>870</v>
      </c>
      <c r="N279" s="7">
        <v>42300</v>
      </c>
    </row>
  </sheetData>
  <sheetProtection algorithmName="SHA-512" hashValue="8fUI7kfO91I8yJ6IslzQb4pIF0RqvBOga+/iQQcHqYkM1h7QpAX0bXXly0hxK5ABCc+zeQ9XmbA2UPjIGpTTDQ==" saltValue="Qv1SOFU0gYw3T2f6vkZAfQ==" spinCount="100000" sheet="1" objects="1"/>
  <autoFilter xmlns:etc="http://www.wps.cn/officeDocument/2017/etCustomData" ref="A1:N279" etc:filterBottomFollowUsedRange="0">
    <extLst/>
  </autoFilter>
  <conditionalFormatting sqref="B72">
    <cfRule type="duplicateValues" dxfId="0" priority="4"/>
  </conditionalFormatting>
  <conditionalFormatting sqref="B250">
    <cfRule type="duplicateValues" dxfId="0" priority="3"/>
  </conditionalFormatting>
  <conditionalFormatting sqref="B74:B75">
    <cfRule type="duplicateValues" dxfId="0" priority="2"/>
  </conditionalFormatting>
  <conditionalFormatting sqref="C74:C75">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21"/>
  <sheetViews>
    <sheetView workbookViewId="0">
      <selection activeCell="H14" sqref="H14"/>
    </sheetView>
  </sheetViews>
  <sheetFormatPr defaultColWidth="7.99166666666667" defaultRowHeight="17.25"/>
  <cols>
    <col min="1" max="1" width="24.5" style="1" customWidth="1"/>
    <col min="2" max="16384" width="7.99166666666667" style="1"/>
  </cols>
  <sheetData>
    <row r="1" ht="18" spans="1:1">
      <c r="A1" s="2" t="s">
        <v>1440</v>
      </c>
    </row>
    <row r="2" ht="23" customHeight="1" spans="1:1">
      <c r="A2" s="3" t="s">
        <v>1441</v>
      </c>
    </row>
    <row r="3" ht="23" customHeight="1" spans="1:1">
      <c r="A3" s="3" t="s">
        <v>1442</v>
      </c>
    </row>
    <row r="4" ht="23" customHeight="1" spans="1:1">
      <c r="A4" s="3" t="s">
        <v>1443</v>
      </c>
    </row>
    <row r="5" ht="23" customHeight="1" spans="1:1">
      <c r="A5" s="3" t="s">
        <v>1444</v>
      </c>
    </row>
    <row r="6" ht="23" customHeight="1" spans="1:1">
      <c r="A6" s="3" t="s">
        <v>1445</v>
      </c>
    </row>
    <row r="7" ht="23" customHeight="1" spans="1:1">
      <c r="A7" s="3" t="s">
        <v>1446</v>
      </c>
    </row>
    <row r="8" ht="23" customHeight="1" spans="1:1">
      <c r="A8" s="3" t="s">
        <v>1447</v>
      </c>
    </row>
    <row r="9" ht="23" customHeight="1" spans="1:1">
      <c r="A9" s="3" t="s">
        <v>1448</v>
      </c>
    </row>
    <row r="10" ht="23" customHeight="1" spans="1:1">
      <c r="A10" s="3" t="s">
        <v>1449</v>
      </c>
    </row>
    <row r="11" ht="23" customHeight="1" spans="1:1">
      <c r="A11" s="3" t="s">
        <v>1450</v>
      </c>
    </row>
    <row r="12" ht="23" customHeight="1" spans="1:1">
      <c r="A12" s="3" t="s">
        <v>1451</v>
      </c>
    </row>
    <row r="13" ht="23" customHeight="1" spans="1:1">
      <c r="A13" s="3" t="s">
        <v>1452</v>
      </c>
    </row>
    <row r="14" ht="23" customHeight="1" spans="1:1">
      <c r="A14" s="3" t="s">
        <v>1453</v>
      </c>
    </row>
    <row r="15" ht="23" customHeight="1" spans="1:1">
      <c r="A15" s="3" t="s">
        <v>1454</v>
      </c>
    </row>
    <row r="16" ht="23" customHeight="1" spans="1:1">
      <c r="A16" s="3" t="s">
        <v>1455</v>
      </c>
    </row>
    <row r="17" ht="23" customHeight="1" spans="1:1">
      <c r="A17" s="4" t="s">
        <v>33</v>
      </c>
    </row>
    <row r="18" ht="23" customHeight="1" spans="1:1">
      <c r="A18" s="5" t="s">
        <v>1456</v>
      </c>
    </row>
    <row r="19" ht="23" customHeight="1" spans="1:1">
      <c r="A19" s="3" t="s">
        <v>1457</v>
      </c>
    </row>
    <row r="20" ht="23" customHeight="1" spans="1:1">
      <c r="A20" s="3" t="s">
        <v>1458</v>
      </c>
    </row>
    <row r="21" ht="23" customHeight="1" spans="1:1">
      <c r="A21" s="3" t="s">
        <v>1459</v>
      </c>
    </row>
  </sheetData>
  <sheetProtection sheet="1" objects="1"/>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3" master="" otherUserPermission="visible"/>
  <rangeList sheetStid="1"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模板</vt:lpstr>
      <vt:lpstr>渠道列表</vt:lpstr>
      <vt:lpstr>地址库</vt:lpstr>
      <vt:lpstr>站点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Etton-Kate</cp:lastModifiedBy>
  <dcterms:created xsi:type="dcterms:W3CDTF">2025-11-22T01:22:00Z</dcterms:created>
  <dcterms:modified xsi:type="dcterms:W3CDTF">2026-10-09T09:52:04Z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03CFFB8D07BD4397B1CC13816FE3C844_13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