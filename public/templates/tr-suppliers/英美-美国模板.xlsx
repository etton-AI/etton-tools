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G:\WXWork\1688855363776963\Cache\File\2026-09\"/>
    </mc:Choice>
  </mc:AlternateContent>
  <bookViews>
    <workbookView windowWidth="28800" windowHeight="11925"/>
  </bookViews>
  <sheets>
    <sheet name="模板" sheetId="1" r:id="rId1"/>
    <sheet name="渠道列表" sheetId="2" r:id="rId2"/>
    <sheet name="亚马逊地址库" sheetId="3" r:id="rId3"/>
    <sheet name="站点" sheetId="4" r:id="rId4"/>
    <sheet name="渠道组" sheetId="5" r:id="rId5"/>
    <sheet name="站点池" sheetId="6" r:id="rId6"/>
  </sheets>
  <externalReferences>
    <externalReference r:id="rId7"/>
  </externalReferences>
  <definedNames>
    <definedName name="_xlnm._FilterDatabase" localSheetId="2" hidden="1">亚马逊地址库!$A$1:$O$26</definedName>
    <definedName name="_xlnm._FilterDatabase" localSheetId="0" hidden="1">模板!$A$15:$X$25</definedName>
    <definedName name="_xlnm._FilterDatabase" localSheetId="1" hidden="1">渠道列表!$A$1:$A$141</definedName>
    <definedName name="当前组">INDEX(渠道组!$B:$B,MATCH(模板!$B$1,渠道组!$A:$A,0))</definedName>
    <definedName name="当前站点">OFFSET(站点池!$A$2,0,MATCH(当前组,站点池!$1:$1,0)-1,COUNTA(OFFSET(站点池!$A$2,0,MATCH(当前组,站点池!$1:$1,0)-1,100,1)),1)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<sst xmlns="http://schemas.openxmlformats.org/spreadsheetml/2006/main" count="4874" uniqueCount="1662">
  <si>
    <t>服务*</t>
  </si>
  <si>
    <r>
      <rPr>
        <sz val="8"/>
        <color rgb="FFFF0000"/>
        <rFont val="微软雅黑"/>
        <charset val="134"/>
      </rPr>
      <t xml:space="preserve">使用说明
1、带星标*为必填项，服务是指渠道。
2、货箱编号不可合并，箱号重复即可，有多少品名就要写多少行
3、申报价值为单件价值，快件总价值=申报价值*数量
4、表格填写不可以使用公式                                                                   
5、申报币种美国填写USD，欧洲是EUR，英国是GBP                               
6、所有包税渠道清关填写“否”不需要填写VAT号
7、卡派渠道PO Number*必须填写                                             
8、亚马逊地址可以填写仓库代码，表格会自动带出地址信息，请检查信息准确性，如因地址库下错单，我司不承担责任。  
9、买单报关的货物报关选：”否“  ，单独报关/报关退税的货物，报关选：”是“        
10、英国卡航/铁路/海运渠道，不包税后缀是VAT，递延后缀是PVA，麻烦客户检查后再下单。
11、如您已购买保险，请下单备注已购买保险 
</t>
    </r>
    <r>
      <rPr>
        <b/>
        <sz val="8"/>
        <rFont val="微软雅黑"/>
        <charset val="134"/>
      </rPr>
      <t>温馨提示：您导入下单时，选择好对应的仓库：所在货站。如您是推送式下单，请您一定要选择对应的货站备注预计送仓时间，这个方便您的货物提前安排进装柜计划中，如您下单没有备注，我司产品部做装柜计划可能无法计算到此订单导致无法优先安排装柜。</t>
    </r>
  </si>
  <si>
    <t>地址库编码（亚马逊仓库代码）*</t>
  </si>
  <si>
    <t>亚马逊只需在此行填写大写仓库代码，会自动生成地址信息</t>
  </si>
  <si>
    <t>收件人姓名*</t>
  </si>
  <si>
    <t>收件人公司</t>
  </si>
  <si>
    <t>收件人地址一*</t>
  </si>
  <si>
    <t>收件人地址二</t>
  </si>
  <si>
    <t>收件人地址三</t>
  </si>
  <si>
    <t>收件人城市*</t>
  </si>
  <si>
    <t>收件人省份/州*</t>
  </si>
  <si>
    <t>收件人邮编*</t>
  </si>
  <si>
    <t>收件人国家代码(二字代码)*</t>
  </si>
  <si>
    <t>收件人电话*</t>
  </si>
  <si>
    <t>收件人邮箱</t>
  </si>
  <si>
    <t>客户订单号</t>
  </si>
  <si>
    <t>带电*</t>
  </si>
  <si>
    <t>否</t>
  </si>
  <si>
    <t>带磁*</t>
  </si>
  <si>
    <t>是</t>
  </si>
  <si>
    <t>报关方式*</t>
  </si>
  <si>
    <t>买单报关</t>
  </si>
  <si>
    <t>清关方式*</t>
  </si>
  <si>
    <t>VAT号*</t>
  </si>
  <si>
    <t>申报币种*</t>
  </si>
  <si>
    <t>USD</t>
  </si>
  <si>
    <t>所在货站*</t>
  </si>
  <si>
    <t>广州站点</t>
  </si>
  <si>
    <t>请选择交货的我司仓库</t>
  </si>
  <si>
    <t>包退运</t>
  </si>
  <si>
    <t>备注</t>
  </si>
  <si>
    <t>备注是否已购买保险，备注后此票货物出单后不换单</t>
  </si>
  <si>
    <t>箱数</t>
  </si>
  <si>
    <t>货箱编号*</t>
  </si>
  <si>
    <t>PO Number*</t>
  </si>
  <si>
    <t>客户货箱重量(KG)</t>
  </si>
  <si>
    <t>客户货箱长度(CM)</t>
  </si>
  <si>
    <t>客户货箱宽度(CM)</t>
  </si>
  <si>
    <t>客户货箱高度(CM)</t>
  </si>
  <si>
    <t>产品SKU</t>
  </si>
  <si>
    <t>产品中文品名*</t>
  </si>
  <si>
    <t>产品英文品名*</t>
  </si>
  <si>
    <t>产品申报单价 *（单个）</t>
  </si>
  <si>
    <t>产品申报数量*（单箱）</t>
  </si>
  <si>
    <t>产品材质*</t>
  </si>
  <si>
    <t>产品海关编码*</t>
  </si>
  <si>
    <t>产品用途*</t>
  </si>
  <si>
    <t>产品品牌*</t>
  </si>
  <si>
    <t>产品型号*</t>
  </si>
  <si>
    <t>产品销售链接*</t>
  </si>
  <si>
    <t>产品销售价格</t>
  </si>
  <si>
    <t>产品图片链接</t>
  </si>
  <si>
    <t>产品重量(kg)</t>
  </si>
  <si>
    <t>产品ASIN</t>
  </si>
  <si>
    <t>产品FNSKU</t>
  </si>
  <si>
    <t>承运商</t>
  </si>
  <si>
    <t>跟踪号</t>
  </si>
  <si>
    <t>A1美森正班海派</t>
  </si>
  <si>
    <t>A2美森加班海派</t>
  </si>
  <si>
    <t>A4华东18日限时达</t>
  </si>
  <si>
    <t>A4华东21日限时达</t>
  </si>
  <si>
    <t>A4华南18日限时达</t>
  </si>
  <si>
    <t>A4华南21日限时达</t>
  </si>
  <si>
    <t>A5-普船统配海派</t>
  </si>
  <si>
    <t>B4华东限时达海卡</t>
  </si>
  <si>
    <t>B4华东限时达海卡按方包税</t>
  </si>
  <si>
    <t>B4华南限时达海卡</t>
  </si>
  <si>
    <t>B4华南限时达海卡按方包税</t>
  </si>
  <si>
    <t>B17纽约22日限时达海卡</t>
  </si>
  <si>
    <t>B17纽约22日限时达海卡按方包税</t>
  </si>
  <si>
    <t>B1美森正班海卡</t>
  </si>
  <si>
    <t>B1美森正班海卡按方包税</t>
  </si>
  <si>
    <t>B2美森加班海卡</t>
  </si>
  <si>
    <t>B2美森加班海卡按方包税</t>
  </si>
  <si>
    <t>B15-普船洛杉矶特惠海卡</t>
  </si>
  <si>
    <t>B15-普船洛杉矶特惠海卡按方包税</t>
  </si>
  <si>
    <t>B5-普船洛杉矶海卡</t>
  </si>
  <si>
    <t>B5-普船洛杉矶海卡按方包税</t>
  </si>
  <si>
    <t>B10普船奥克兰海卡</t>
  </si>
  <si>
    <t>B10普船奥克兰海卡按方包税</t>
  </si>
  <si>
    <t>B14休斯顿海卡</t>
  </si>
  <si>
    <t>B14休斯顿海卡按方包税</t>
  </si>
  <si>
    <t>B7-普船纽约海卡</t>
  </si>
  <si>
    <t>B7-普船纽约海卡按方包税</t>
  </si>
  <si>
    <t>B9萨凡纳直航海卡</t>
  </si>
  <si>
    <t>B9萨凡纳直航海卡按方包税</t>
  </si>
  <si>
    <t>B12芝加哥海卡</t>
  </si>
  <si>
    <t>B12芝加哥海卡按方包税</t>
  </si>
  <si>
    <t>B6-私人商业地址-上海合德</t>
  </si>
  <si>
    <t>B6-私人商业地址-南沙合德</t>
  </si>
  <si>
    <t>B6-私人商业地址-华东以星</t>
  </si>
  <si>
    <t>B6-私人商业地址-华南以星</t>
  </si>
  <si>
    <t>B6-私人商业地址-美森加班</t>
  </si>
  <si>
    <t>B6-私人商业地址-美森正班</t>
  </si>
  <si>
    <t>B6-私人商业地址-洛杉矶</t>
  </si>
  <si>
    <t>B6-私人商业地址-纽约</t>
  </si>
  <si>
    <t>B6-私人商业地址-纽约快线</t>
  </si>
  <si>
    <t>B6-私人商业地址-萨凡纳</t>
  </si>
  <si>
    <t>B6-私人商业地址-休斯顿</t>
  </si>
  <si>
    <t>B6-私人商业地址-芝加哥</t>
  </si>
  <si>
    <t>B6-私人商业地址-奥克兰</t>
  </si>
  <si>
    <t>B8华东合德以星自提</t>
  </si>
  <si>
    <t>B8华东合德以星自提按方包税</t>
  </si>
  <si>
    <t>B8华南合德以星自提</t>
  </si>
  <si>
    <t>B8华南合德以星自提按方包税</t>
  </si>
  <si>
    <t>B8美森加班自提</t>
  </si>
  <si>
    <t>B8美森加班自提按方包税</t>
  </si>
  <si>
    <t>B8美森正班自提</t>
  </si>
  <si>
    <t>B8美森正班自提按方包税</t>
  </si>
  <si>
    <t>B8普船奥克兰自提</t>
  </si>
  <si>
    <t>B8普船奥克兰自提按方包税</t>
  </si>
  <si>
    <t>B8普船洛杉矶自提</t>
  </si>
  <si>
    <t>B8普船洛杉矶自提按方包税</t>
  </si>
  <si>
    <t>B8普船纽约自提</t>
  </si>
  <si>
    <t>B8普船纽约自提按方包税</t>
  </si>
  <si>
    <t>B8普船萨凡纳自提</t>
  </si>
  <si>
    <t>B8普船萨凡纳自提按方包税</t>
  </si>
  <si>
    <t>B8普船休斯顿自提</t>
  </si>
  <si>
    <t>B8普船休斯顿自提按方包税</t>
  </si>
  <si>
    <t>B8普船芝加哥自提</t>
  </si>
  <si>
    <t>B8普船芝加哥自提按方包税</t>
  </si>
  <si>
    <t>美国整柜直送</t>
  </si>
  <si>
    <t>M1美国空派普线</t>
  </si>
  <si>
    <t>M2美国空派快线</t>
  </si>
  <si>
    <t>M3美国空卡</t>
  </si>
  <si>
    <t>M4美国空运自提</t>
  </si>
  <si>
    <t>美国海运清关</t>
  </si>
  <si>
    <t>美国海运头程</t>
  </si>
  <si>
    <t>美国整柜海运清提派</t>
  </si>
  <si>
    <t>B8EXX洛杉矶自提</t>
  </si>
  <si>
    <t>A3EXX极速达海派</t>
  </si>
  <si>
    <t>B3EXX极速达海卡</t>
  </si>
  <si>
    <t>B3EXX极速达海卡按方包税</t>
  </si>
  <si>
    <t>B8EXX洛杉矶自提按方包税</t>
  </si>
  <si>
    <t>B4华东限时达快提海卡</t>
  </si>
  <si>
    <t>B4华东限时达快提海卡按方包税</t>
  </si>
  <si>
    <t>B4华南限时达快提海卡</t>
  </si>
  <si>
    <t>B4华南限时达快提海卡按方包税</t>
  </si>
  <si>
    <t>A4华南17日限时达</t>
  </si>
  <si>
    <t>B6-私人商业地址- EXX卡派</t>
  </si>
  <si>
    <t>H1美森正班海派</t>
  </si>
  <si>
    <t>H2美森加班海派</t>
  </si>
  <si>
    <t>H3EXX极速达海派</t>
  </si>
  <si>
    <t>H4华南17日限时达</t>
  </si>
  <si>
    <t>H5华南18日限时达</t>
  </si>
  <si>
    <t>H6华南21日限时达</t>
  </si>
  <si>
    <t>H7普船统配海派</t>
  </si>
  <si>
    <t>D1美森正班海卡</t>
  </si>
  <si>
    <t>D2美森加班海卡</t>
  </si>
  <si>
    <t>D3EXX极速达海卡</t>
  </si>
  <si>
    <t>D4华南限时达快提海卡</t>
  </si>
  <si>
    <t>D5华南限时达海卡</t>
  </si>
  <si>
    <t>D6纽约22日限时达海卡</t>
  </si>
  <si>
    <t>D7普船洛杉矶特惠海卡</t>
  </si>
  <si>
    <t>D8普船洛杉矶海卡</t>
  </si>
  <si>
    <t>D10休斯顿海卡</t>
  </si>
  <si>
    <t>D14私人商业地址-休斯顿</t>
  </si>
  <si>
    <t>D15普船休斯顿自提</t>
  </si>
  <si>
    <t>D14私人商业地址-洛杉矶</t>
  </si>
  <si>
    <t>D15普船洛杉矶自提</t>
  </si>
  <si>
    <t>D15EXX洛杉矶自提</t>
  </si>
  <si>
    <t>D14私人商业地址-美森正班</t>
  </si>
  <si>
    <t>D14私人商业地址-美森加班</t>
  </si>
  <si>
    <t>D15美森正班自提</t>
  </si>
  <si>
    <t>D15美森加班自提</t>
  </si>
  <si>
    <t>D12普船纽约海卡</t>
  </si>
  <si>
    <t>D15普船纽约自提</t>
  </si>
  <si>
    <t>D14私人商业地址-纽约快线</t>
  </si>
  <si>
    <t>D14私人商业地址-纽约</t>
  </si>
  <si>
    <t>D13萨凡纳直航海卡</t>
  </si>
  <si>
    <t>D14私人商业地址-萨凡纳</t>
  </si>
  <si>
    <t>D15普船萨凡纳自提</t>
  </si>
  <si>
    <t>D11芝加哥海卡</t>
  </si>
  <si>
    <t>D14私人商业地址-芝加哥</t>
  </si>
  <si>
    <t>D15普船芝加哥自提</t>
  </si>
  <si>
    <t>D14私人商业地址- EXX卡派</t>
  </si>
  <si>
    <t>D14私人商业地址-南沙合德</t>
  </si>
  <si>
    <t>D14私人商业地址-华南以星</t>
  </si>
  <si>
    <t>D15华南合德以星自提</t>
  </si>
  <si>
    <t>B8纽约海铁联运自提按方包税</t>
  </si>
  <si>
    <t>B8纽约海铁联运自提</t>
  </si>
  <si>
    <t>M5美国空派带电</t>
  </si>
  <si>
    <t>H8美森正班超大件</t>
  </si>
  <si>
    <t>H9美森加班超大件</t>
  </si>
  <si>
    <t>H10EXX极速达超大件</t>
  </si>
  <si>
    <t>H11华南限时达超大件</t>
  </si>
  <si>
    <t>H12普船统配超大件</t>
  </si>
  <si>
    <t>D17休斯顿海铁海卡</t>
  </si>
  <si>
    <t>D14私人商业地址-休斯顿海铁联运</t>
  </si>
  <si>
    <t>D16纽约OA海铁联运</t>
  </si>
  <si>
    <t>D14-私人商业地址-纽约海铁联运</t>
  </si>
  <si>
    <t>A4华东23日稳速达</t>
  </si>
  <si>
    <t>B8上海以星自提</t>
  </si>
  <si>
    <t>B8上海以星自提按方包税</t>
  </si>
  <si>
    <t>B4华东稳速达海卡</t>
  </si>
  <si>
    <t>B4华东稳速达海卡按方包税</t>
  </si>
  <si>
    <t>B6-私人商业地址-上海以星</t>
  </si>
  <si>
    <t>B6-私人商业地址-宁波以星</t>
  </si>
  <si>
    <t>地址简称*</t>
  </si>
  <si>
    <t>地址编码*</t>
  </si>
  <si>
    <t>FBA仓库代码</t>
  </si>
  <si>
    <t>联系人*</t>
  </si>
  <si>
    <t>公司名</t>
  </si>
  <si>
    <t>联系电话</t>
  </si>
  <si>
    <t>联系手机</t>
  </si>
  <si>
    <t>地址一*</t>
  </si>
  <si>
    <t>地址二</t>
  </si>
  <si>
    <t>地址三</t>
  </si>
  <si>
    <t>城市*</t>
  </si>
  <si>
    <t>省/洲</t>
  </si>
  <si>
    <t>国家*</t>
  </si>
  <si>
    <t>邮编*</t>
  </si>
  <si>
    <t>LAX1s</t>
  </si>
  <si>
    <t>Walmart</t>
  </si>
  <si>
    <t>0000000000</t>
  </si>
  <si>
    <t>6750 Kimball Ave</t>
  </si>
  <si>
    <t>Chino</t>
  </si>
  <si>
    <t>CA</t>
  </si>
  <si>
    <t>US</t>
  </si>
  <si>
    <t>LAX2</t>
  </si>
  <si>
    <t>6730 Kimball Ave</t>
  </si>
  <si>
    <t>PHX1</t>
  </si>
  <si>
    <t>6600 N Sarival Ave</t>
  </si>
  <si>
    <t>Litchfield Park</t>
  </si>
  <si>
    <t>AZ</t>
  </si>
  <si>
    <t>DFW2</t>
  </si>
  <si>
    <t>15101 N Beach ST</t>
  </si>
  <si>
    <t>Fort Worth</t>
  </si>
  <si>
    <t>TX</t>
  </si>
  <si>
    <t>DFW5S</t>
  </si>
  <si>
    <t>2500 E BELT LINE RD</t>
  </si>
  <si>
    <t>Lancaster</t>
  </si>
  <si>
    <t>KS1</t>
  </si>
  <si>
    <t>30801 W 191ST</t>
  </si>
  <si>
    <t>EDGERTON</t>
  </si>
  <si>
    <t>KS</t>
  </si>
  <si>
    <t>KY1</t>
  </si>
  <si>
    <t>120 Velocity Way</t>
  </si>
  <si>
    <t>Shepherdsville</t>
  </si>
  <si>
    <t>KY</t>
  </si>
  <si>
    <t>MCI1N</t>
  </si>
  <si>
    <t>1303 Sw Innovation Pkway</t>
  </si>
  <si>
    <t>Topeka</t>
  </si>
  <si>
    <t>SMF1s</t>
  </si>
  <si>
    <t>7000 Powerline Rd</t>
  </si>
  <si>
    <t>Sacramento</t>
  </si>
  <si>
    <t>MCO1s</t>
  </si>
  <si>
    <t>5100 NORTH RIDGE TRAIL</t>
  </si>
  <si>
    <t>Davenport</t>
  </si>
  <si>
    <t>FL</t>
  </si>
  <si>
    <t>MEM1s</t>
  </si>
  <si>
    <t>10480 Marina Drive</t>
  </si>
  <si>
    <t>Olive Branch</t>
  </si>
  <si>
    <t>MS</t>
  </si>
  <si>
    <t>IND1s</t>
  </si>
  <si>
    <t>9590 All Points Court</t>
  </si>
  <si>
    <t>Plainfield</t>
  </si>
  <si>
    <t>IN</t>
  </si>
  <si>
    <t>IND3s</t>
  </si>
  <si>
    <t>5756 Enterprise Dr</t>
  </si>
  <si>
    <t>Mccordsville</t>
  </si>
  <si>
    <t>CVG1s</t>
  </si>
  <si>
    <t>650 Gateway Blvd</t>
  </si>
  <si>
    <t>Monroe</t>
  </si>
  <si>
    <t>OH</t>
  </si>
  <si>
    <t>ATL2s</t>
  </si>
  <si>
    <t>3101N Highway 27</t>
  </si>
  <si>
    <t>Carrollton</t>
  </si>
  <si>
    <t>GA</t>
  </si>
  <si>
    <t>ATL1</t>
  </si>
  <si>
    <t>6055 S Fulton Pkwy</t>
  </si>
  <si>
    <t>Atlanta</t>
  </si>
  <si>
    <t>ATL3</t>
  </si>
  <si>
    <t>445Valentine Industrial Parkway</t>
  </si>
  <si>
    <t>Pendergrass</t>
  </si>
  <si>
    <t>ORD1s</t>
  </si>
  <si>
    <t>3501 BRANDON ROAD</t>
  </si>
  <si>
    <t>JOLIET</t>
  </si>
  <si>
    <t>IL</t>
  </si>
  <si>
    <t>NJ3</t>
  </si>
  <si>
    <t>3 Sorbello Way</t>
  </si>
  <si>
    <t>Pedricktown</t>
  </si>
  <si>
    <t>NJ</t>
  </si>
  <si>
    <t>08067</t>
  </si>
  <si>
    <t>PHL4N</t>
  </si>
  <si>
    <t>1410 United Dr</t>
  </si>
  <si>
    <t>Shippensburg</t>
  </si>
  <si>
    <t>PA</t>
  </si>
  <si>
    <t>IND2n</t>
  </si>
  <si>
    <t>9360 AllPoints Pkwy. Suite 107</t>
  </si>
  <si>
    <t>PHL5S</t>
  </si>
  <si>
    <t>0123456789</t>
  </si>
  <si>
    <t>1915 EBBERTS SPG CT</t>
  </si>
  <si>
    <t>GREENCASTLE</t>
  </si>
  <si>
    <t>CVG1n</t>
  </si>
  <si>
    <t>DFW6S-</t>
  </si>
  <si>
    <t>14700 BLUE MOUND RD</t>
  </si>
  <si>
    <t>HASLET</t>
  </si>
  <si>
    <t>LAX2T</t>
  </si>
  <si>
    <t>SAT6</t>
  </si>
  <si>
    <t>AMAZON</t>
  </si>
  <si>
    <t>1346 Fortuna Road</t>
  </si>
  <si>
    <t>SAN MARCOS</t>
  </si>
  <si>
    <t>78666-0001</t>
  </si>
  <si>
    <t>XRI3</t>
  </si>
  <si>
    <t>4949 Commerce Rd</t>
  </si>
  <si>
    <t>RICHMOND</t>
  </si>
  <si>
    <t>VA</t>
  </si>
  <si>
    <t>ABS4</t>
  </si>
  <si>
    <t>4410 Mexus Way</t>
  </si>
  <si>
    <t>LAS VEGAS</t>
  </si>
  <si>
    <t>NV</t>
  </si>
  <si>
    <t>GEU2</t>
  </si>
  <si>
    <t>15301 West Northern Avenue</t>
  </si>
  <si>
    <t>Glendale</t>
  </si>
  <si>
    <t>AZA5</t>
  </si>
  <si>
    <t>6000 W Van Buren St</t>
  </si>
  <si>
    <t>Phoenix</t>
  </si>
  <si>
    <t>QXY5</t>
  </si>
  <si>
    <t>4532 NEWCASTLE RD</t>
  </si>
  <si>
    <t>STOCKTON</t>
  </si>
  <si>
    <t>JOT1</t>
  </si>
  <si>
    <t>1494 S WATERMAN AVE</t>
  </si>
  <si>
    <t>SAN BERNARDINO</t>
  </si>
  <si>
    <t>IUSF</t>
  </si>
  <si>
    <t>3351 Balmorhea Dr</t>
  </si>
  <si>
    <t>DALLAS</t>
  </si>
  <si>
    <t xml:space="preserve">TX </t>
  </si>
  <si>
    <t>XLX3</t>
  </si>
  <si>
    <t>21590 Needham Ranch Parkway</t>
  </si>
  <si>
    <t>SANTA CLARITA</t>
  </si>
  <si>
    <t>GEU3</t>
  </si>
  <si>
    <t>18900 W McDowell Road</t>
  </si>
  <si>
    <t>BUCKEYE</t>
  </si>
  <si>
    <t>MIT2</t>
  </si>
  <si>
    <t>5408 Express Avenue</t>
  </si>
  <si>
    <t>SHAFTER</t>
  </si>
  <si>
    <t>XLX7</t>
  </si>
  <si>
    <t>18580 GATEWAY DR</t>
  </si>
  <si>
    <t>VICTORVILLE</t>
  </si>
  <si>
    <t>HGR6</t>
  </si>
  <si>
    <t>55 West Oak Ridge Drive</t>
  </si>
  <si>
    <t>HAGERSTOWN</t>
  </si>
  <si>
    <t>MD</t>
  </si>
  <si>
    <t>21740-7301</t>
  </si>
  <si>
    <t>HIA1</t>
  </si>
  <si>
    <t>3327 E Harrisburg Pik</t>
  </si>
  <si>
    <t>MIDDLETOWN</t>
  </si>
  <si>
    <t>RYY2</t>
  </si>
  <si>
    <t>1250 Cassville White Road</t>
  </si>
  <si>
    <t>White</t>
  </si>
  <si>
    <t>IUSQ</t>
  </si>
  <si>
    <t>2125 W San Bernardino Ave</t>
  </si>
  <si>
    <t>REDLANDS</t>
  </si>
  <si>
    <t>PBI3</t>
  </si>
  <si>
    <t>7600 LTC Parkway</t>
  </si>
  <si>
    <t>PORT SAINT LUCIE</t>
  </si>
  <si>
    <t>XPH1</t>
  </si>
  <si>
    <t>6625 COLLEGE DR</t>
  </si>
  <si>
    <t>Suffolk</t>
  </si>
  <si>
    <t>23435-2615</t>
  </si>
  <si>
    <t>LBE1</t>
  </si>
  <si>
    <t>165 GLENN FOX RD</t>
  </si>
  <si>
    <t>NEW STANTON</t>
  </si>
  <si>
    <t>15672-9703</t>
  </si>
  <si>
    <t>IUSP</t>
  </si>
  <si>
    <t>8140 Caliente Rd</t>
  </si>
  <si>
    <t>HESPERIA</t>
  </si>
  <si>
    <t>IUSJ</t>
  </si>
  <si>
    <t>36900 West 4th Street</t>
  </si>
  <si>
    <t>BEAUMONT</t>
  </si>
  <si>
    <t>TMB8</t>
  </si>
  <si>
    <t>27505 SW 132nd AVE</t>
  </si>
  <si>
    <t>HOMESTEAD</t>
  </si>
  <si>
    <t>33032-8597</t>
  </si>
  <si>
    <t>ABQ2</t>
  </si>
  <si>
    <t>6251 Pioneer Trail NW</t>
  </si>
  <si>
    <t>LOS LUNAS</t>
  </si>
  <si>
    <t>NM</t>
  </si>
  <si>
    <t>PSC2</t>
  </si>
  <si>
    <t>1351 S Road 40 E</t>
  </si>
  <si>
    <t>PASCO</t>
  </si>
  <si>
    <t>WA</t>
  </si>
  <si>
    <t>BNA6</t>
  </si>
  <si>
    <t>3875 GUTHRIE HWY</t>
  </si>
  <si>
    <t>CLARKSVILLE</t>
  </si>
  <si>
    <t>TN</t>
  </si>
  <si>
    <t>37040-5502</t>
  </si>
  <si>
    <t>HSV2</t>
  </si>
  <si>
    <t>28869 Fanning Dr NW</t>
  </si>
  <si>
    <t>MADISON</t>
  </si>
  <si>
    <t>AL</t>
  </si>
  <si>
    <t>SMF7</t>
  </si>
  <si>
    <t>4800 Midway Road</t>
  </si>
  <si>
    <t>VACAVILLE</t>
  </si>
  <si>
    <t>95688-9626</t>
  </si>
  <si>
    <t>RFD4</t>
  </si>
  <si>
    <t>11400 Venture Court</t>
  </si>
  <si>
    <t>Huntley</t>
  </si>
  <si>
    <t>RMN3</t>
  </si>
  <si>
    <t>220 Centreport Parkway</t>
  </si>
  <si>
    <t>FREDERICKSBURG</t>
  </si>
  <si>
    <t>AKR1</t>
  </si>
  <si>
    <t>4747 Rebar Ave NE</t>
  </si>
  <si>
    <t>CANTON</t>
  </si>
  <si>
    <t>MEM8</t>
  </si>
  <si>
    <t>850 Gateway Global Dr</t>
  </si>
  <si>
    <t>Byhalia</t>
  </si>
  <si>
    <t>RFD2</t>
  </si>
  <si>
    <t>11500 FREEMAN RD</t>
  </si>
  <si>
    <t>HUNTLEY</t>
  </si>
  <si>
    <t>RDU2</t>
  </si>
  <si>
    <t>2150 US HWY 70 Business West</t>
  </si>
  <si>
    <t>SMITHFIELD</t>
  </si>
  <si>
    <t>NC</t>
  </si>
  <si>
    <t>BNA5</t>
  </si>
  <si>
    <t>ALT8</t>
  </si>
  <si>
    <t>2201 Thornton Rd</t>
  </si>
  <si>
    <t>Lithia Springs</t>
  </si>
  <si>
    <t>BFI9</t>
  </si>
  <si>
    <t>3230 International Pl</t>
  </si>
  <si>
    <t>DuPont</t>
  </si>
  <si>
    <t>CHO1</t>
  </si>
  <si>
    <t>32 TRADER RD</t>
  </si>
  <si>
    <t>FISHERSVILLE</t>
  </si>
  <si>
    <t>22939-2437</t>
  </si>
  <si>
    <t>IAH3</t>
  </si>
  <si>
    <t>00000000000</t>
  </si>
  <si>
    <t>15525 Milner Road</t>
  </si>
  <si>
    <t>HOUSTON</t>
  </si>
  <si>
    <t>SCK8</t>
  </si>
  <si>
    <t>4700 WILBUR AVE</t>
  </si>
  <si>
    <t>OAKLEY</t>
  </si>
  <si>
    <t>94561-2677</t>
  </si>
  <si>
    <t>XLX6</t>
  </si>
  <si>
    <t>12220 Carolina Logistics Drive</t>
  </si>
  <si>
    <t>PINEVILLE</t>
  </si>
  <si>
    <t>OLM1</t>
  </si>
  <si>
    <t>3300 HOGUM BAY RD NE</t>
  </si>
  <si>
    <t>OLYMPIA</t>
  </si>
  <si>
    <t>98516-3111</t>
  </si>
  <si>
    <t>VGT2</t>
  </si>
  <si>
    <t>6401 Howdy Wells Ave</t>
  </si>
  <si>
    <t>89115-2013</t>
  </si>
  <si>
    <t>DTW3</t>
  </si>
  <si>
    <t>33701 Prescott St</t>
  </si>
  <si>
    <t>Romulus</t>
  </si>
  <si>
    <t>MI</t>
  </si>
  <si>
    <t>HGR2</t>
  </si>
  <si>
    <t>1115 Wesel Blvd</t>
  </si>
  <si>
    <t>Hagerstown</t>
  </si>
  <si>
    <t>IUSL</t>
  </si>
  <si>
    <t>600 PRINCIPIO PKWY W</t>
  </si>
  <si>
    <t>NORTH EAST</t>
  </si>
  <si>
    <t>21901-2914</t>
  </si>
  <si>
    <t>MGE5</t>
  </si>
  <si>
    <t>235 Hog Mountain Rd</t>
  </si>
  <si>
    <t>Jefferson</t>
  </si>
  <si>
    <t>MGE7</t>
  </si>
  <si>
    <t>650 Broadway Ave</t>
  </si>
  <si>
    <t>Braselton</t>
  </si>
  <si>
    <t>PBI2</t>
  </si>
  <si>
    <t>14490 Corporate Rd N</t>
  </si>
  <si>
    <t>Jupiter</t>
  </si>
  <si>
    <t>BFL2</t>
  </si>
  <si>
    <t>4500 EXPRESS AVE</t>
  </si>
  <si>
    <t>93263-2246</t>
  </si>
  <si>
    <t>AVP9</t>
  </si>
  <si>
    <t>45 VALLEY VIEW DR</t>
  </si>
  <si>
    <t>JESSUP</t>
  </si>
  <si>
    <t>18434-1153</t>
  </si>
  <si>
    <t>XLX1</t>
  </si>
  <si>
    <t>21740-8126</t>
  </si>
  <si>
    <t>SWF2</t>
  </si>
  <si>
    <t>76 Patriot Way</t>
  </si>
  <si>
    <t>Hopewell Junction</t>
  </si>
  <si>
    <t>NY</t>
  </si>
  <si>
    <t>12533-6159</t>
  </si>
  <si>
    <t>ORF2</t>
  </si>
  <si>
    <t>5045 Portsmouth Blvd</t>
  </si>
  <si>
    <t>Chesapeake</t>
  </si>
  <si>
    <t>MDT4</t>
  </si>
  <si>
    <t>5125 Commerce Drive</t>
  </si>
  <si>
    <t>YORK</t>
  </si>
  <si>
    <t>AMA1</t>
  </si>
  <si>
    <t>8590 NE 24th Avenue</t>
  </si>
  <si>
    <t>AMARILLO</t>
  </si>
  <si>
    <t>79108-7749</t>
  </si>
  <si>
    <t>ABE2</t>
  </si>
  <si>
    <t>705 Boulder Drive</t>
  </si>
  <si>
    <t>Breinigsville</t>
  </si>
  <si>
    <t>18031-1533</t>
  </si>
  <si>
    <t>ABE3</t>
  </si>
  <si>
    <t>650 Boulder Drive</t>
  </si>
  <si>
    <t>18031-1536</t>
  </si>
  <si>
    <t>ABE4</t>
  </si>
  <si>
    <t>1610 Van Buren Road,</t>
  </si>
  <si>
    <t>Easton</t>
  </si>
  <si>
    <t>18045-7807</t>
  </si>
  <si>
    <t>ABE5</t>
  </si>
  <si>
    <t>6455 Allentown Boulevard</t>
  </si>
  <si>
    <t>Harrisburg</t>
  </si>
  <si>
    <t>17112</t>
  </si>
  <si>
    <t>ABE8</t>
  </si>
  <si>
    <t>401 Independence Road</t>
  </si>
  <si>
    <t>Florence</t>
  </si>
  <si>
    <t>08518-2200</t>
  </si>
  <si>
    <t>ABE8-309</t>
  </si>
  <si>
    <t>309 Cedar Lane</t>
  </si>
  <si>
    <t>08518-2802</t>
  </si>
  <si>
    <t>ABE8-401</t>
  </si>
  <si>
    <t>08518</t>
  </si>
  <si>
    <t>ACY1</t>
  </si>
  <si>
    <t>240 Mantua Grove Road</t>
  </si>
  <si>
    <t>West Deptford</t>
  </si>
  <si>
    <t>08066</t>
  </si>
  <si>
    <t>ACY2</t>
  </si>
  <si>
    <t>1101 E PEARL ST</t>
  </si>
  <si>
    <t>BURLINGTON</t>
  </si>
  <si>
    <t>08016-1934</t>
  </si>
  <si>
    <t>AKC1</t>
  </si>
  <si>
    <t>2450 ROMIG RD</t>
  </si>
  <si>
    <t>AKRON</t>
  </si>
  <si>
    <t>44320-3827</t>
  </si>
  <si>
    <t>ALB1</t>
  </si>
  <si>
    <t>1835 US Route 9</t>
  </si>
  <si>
    <t>Castleton</t>
  </si>
  <si>
    <t>12033-9634</t>
  </si>
  <si>
    <t>ATL2</t>
  </si>
  <si>
    <t>2255 W PARK PLACE BLVD</t>
  </si>
  <si>
    <t>STONE MOUNTAIN</t>
  </si>
  <si>
    <t>30087-3506</t>
  </si>
  <si>
    <t>ATL6</t>
  </si>
  <si>
    <t>4200 North Commerce</t>
  </si>
  <si>
    <t>East Point</t>
  </si>
  <si>
    <t>30344</t>
  </si>
  <si>
    <t>ATL7</t>
  </si>
  <si>
    <t>6855 Shannon Pkwy S</t>
  </si>
  <si>
    <t>UNION CITY</t>
  </si>
  <si>
    <t>30291-2091</t>
  </si>
  <si>
    <t>ATL8</t>
  </si>
  <si>
    <t>2201 Thornton Road</t>
  </si>
  <si>
    <t>30122-3895</t>
  </si>
  <si>
    <t>AVP1</t>
  </si>
  <si>
    <t>550 Oak Ridge Road</t>
  </si>
  <si>
    <t>Hazle Township</t>
  </si>
  <si>
    <t>18202-9361</t>
  </si>
  <si>
    <t>AVP3</t>
  </si>
  <si>
    <t>298 1ST AVE</t>
  </si>
  <si>
    <t>GOULDSBORO</t>
  </si>
  <si>
    <t>18424-9492</t>
  </si>
  <si>
    <t>AZA4</t>
  </si>
  <si>
    <t>3333 59th Ave</t>
  </si>
  <si>
    <t>PHOENIX</t>
  </si>
  <si>
    <t>85043-7904</t>
  </si>
  <si>
    <t>BDL1</t>
  </si>
  <si>
    <t>801 Day Hill Rd.</t>
  </si>
  <si>
    <t>Windsor</t>
  </si>
  <si>
    <t>CT</t>
  </si>
  <si>
    <t>06095</t>
  </si>
  <si>
    <t>BDL2</t>
  </si>
  <si>
    <t>200 Old Iron Ore Rd</t>
  </si>
  <si>
    <t>06095-2144</t>
  </si>
  <si>
    <t>BDL3</t>
  </si>
  <si>
    <t>409 Washington Avenue</t>
  </si>
  <si>
    <t>North Haven</t>
  </si>
  <si>
    <t>06473-1307</t>
  </si>
  <si>
    <t>BDL6</t>
  </si>
  <si>
    <t>120 County Line Dr</t>
  </si>
  <si>
    <t>CROMWELL</t>
  </si>
  <si>
    <t>06416</t>
  </si>
  <si>
    <t>BFI1</t>
  </si>
  <si>
    <t>1800 140th Avenue E.</t>
  </si>
  <si>
    <t>Sumner</t>
  </si>
  <si>
    <t>98390</t>
  </si>
  <si>
    <t>BFI3</t>
  </si>
  <si>
    <t>2700 Center Drive</t>
  </si>
  <si>
    <t>Dupont</t>
  </si>
  <si>
    <t>98327-9607</t>
  </si>
  <si>
    <t>BFI4</t>
  </si>
  <si>
    <t>20529 59th Place South</t>
  </si>
  <si>
    <t>Kent</t>
  </si>
  <si>
    <t>98032</t>
  </si>
  <si>
    <t>BFI5</t>
  </si>
  <si>
    <t>20526 59th Place South</t>
  </si>
  <si>
    <t>BFI7</t>
  </si>
  <si>
    <t>1901 140th Ave E</t>
  </si>
  <si>
    <t>BFL1</t>
  </si>
  <si>
    <t>1601 Petrol Road</t>
  </si>
  <si>
    <t>BAKERSFIELD</t>
  </si>
  <si>
    <t>93308-9755</t>
  </si>
  <si>
    <t>BHM1</t>
  </si>
  <si>
    <t>975 Powder Plant Rd</t>
  </si>
  <si>
    <t>BESSEMER</t>
  </si>
  <si>
    <t>35022-5497</t>
  </si>
  <si>
    <t>BNA1</t>
  </si>
  <si>
    <t>14840 Central Pike Suite 190</t>
  </si>
  <si>
    <t>Lebanon</t>
  </si>
  <si>
    <t>37090</t>
  </si>
  <si>
    <t>BNA2</t>
  </si>
  <si>
    <t>500 Duke Dr</t>
  </si>
  <si>
    <t>37090-8123</t>
  </si>
  <si>
    <t>BNA3</t>
  </si>
  <si>
    <t>2020 Joe B Jackson Pkwy</t>
  </si>
  <si>
    <t>Murfreesboro</t>
  </si>
  <si>
    <t>37127</t>
  </si>
  <si>
    <t>BNA4</t>
  </si>
  <si>
    <t>50 airways Blvd</t>
  </si>
  <si>
    <t>Nashville</t>
  </si>
  <si>
    <t>37217</t>
  </si>
  <si>
    <t>BOI2</t>
  </si>
  <si>
    <t>5295 E Franklin Rd Suite N057</t>
  </si>
  <si>
    <t>Nampa</t>
  </si>
  <si>
    <t>ID</t>
  </si>
  <si>
    <t>83687</t>
  </si>
  <si>
    <t>BOS1</t>
  </si>
  <si>
    <t>10 State St.</t>
  </si>
  <si>
    <t>Nashua</t>
  </si>
  <si>
    <t>NH</t>
  </si>
  <si>
    <t>03063</t>
  </si>
  <si>
    <t>BOS2</t>
  </si>
  <si>
    <t>1000 Tech Centre</t>
  </si>
  <si>
    <t>Drive Stoughton</t>
  </si>
  <si>
    <t>MA</t>
  </si>
  <si>
    <t>02072</t>
  </si>
  <si>
    <t>BOS5</t>
  </si>
  <si>
    <t>1000 Technology Center Dr</t>
  </si>
  <si>
    <t>Stoughton</t>
  </si>
  <si>
    <t>BOS7</t>
  </si>
  <si>
    <t>1180 Innovation Way</t>
  </si>
  <si>
    <t>Fall River</t>
  </si>
  <si>
    <t>02720-4766</t>
  </si>
  <si>
    <t>BWI1</t>
  </si>
  <si>
    <t>45121 Global Plaza</t>
  </si>
  <si>
    <t>Sterling</t>
  </si>
  <si>
    <t>20166-2058</t>
  </si>
  <si>
    <t>BWI2</t>
  </si>
  <si>
    <t>2010 Broening Hwy</t>
  </si>
  <si>
    <t>Baltimore</t>
  </si>
  <si>
    <t>21224-6027</t>
  </si>
  <si>
    <t>BWI4</t>
  </si>
  <si>
    <t>165 Business Blvd</t>
  </si>
  <si>
    <t>Clear Brook</t>
  </si>
  <si>
    <t>22624-1568</t>
  </si>
  <si>
    <t>CAE1</t>
  </si>
  <si>
    <t>4400 12 Street Extension</t>
  </si>
  <si>
    <t>West Columbia</t>
  </si>
  <si>
    <t>SC</t>
  </si>
  <si>
    <t>29172</t>
  </si>
  <si>
    <t>CHA1</t>
  </si>
  <si>
    <t>7200 Discovery Drive</t>
  </si>
  <si>
    <t>Chattanooga</t>
  </si>
  <si>
    <t>37416-1757</t>
  </si>
  <si>
    <t>CHA2</t>
  </si>
  <si>
    <t>225 Infinity Dr NW</t>
  </si>
  <si>
    <t>Charleston</t>
  </si>
  <si>
    <t>37310-1400</t>
  </si>
  <si>
    <t>CLE2</t>
  </si>
  <si>
    <t>21500 Emery Rd</t>
  </si>
  <si>
    <t>North Randall</t>
  </si>
  <si>
    <t>44128</t>
  </si>
  <si>
    <t>CLE3</t>
  </si>
  <si>
    <t>1155 Babbitt Road</t>
  </si>
  <si>
    <t>Euclid</t>
  </si>
  <si>
    <t>44132-2703</t>
  </si>
  <si>
    <t>CLT2</t>
  </si>
  <si>
    <t>10240 Old Dowd Rd</t>
  </si>
  <si>
    <t>Charlotte</t>
  </si>
  <si>
    <t>28214-8082</t>
  </si>
  <si>
    <t>CLT3</t>
  </si>
  <si>
    <t>6500 Davidson Hwy</t>
  </si>
  <si>
    <t>Concord</t>
  </si>
  <si>
    <t>28027-7995</t>
  </si>
  <si>
    <t>CLT4</t>
  </si>
  <si>
    <t>8000 TUCKASEEGEE RD</t>
  </si>
  <si>
    <t>CHARLOTTE</t>
  </si>
  <si>
    <t>28214-2633</t>
  </si>
  <si>
    <t>CMH1</t>
  </si>
  <si>
    <t>11999 National Road SW</t>
  </si>
  <si>
    <t>Etna</t>
  </si>
  <si>
    <t>43062-7793</t>
  </si>
  <si>
    <t>CMH2</t>
  </si>
  <si>
    <t>6050 Gateway Court</t>
  </si>
  <si>
    <t>Groveport</t>
  </si>
  <si>
    <t>43125-9016</t>
  </si>
  <si>
    <t>CMH3</t>
  </si>
  <si>
    <t>700 GATEWAY BLVD</t>
  </si>
  <si>
    <t>45050-1848</t>
  </si>
  <si>
    <t>CMH4</t>
  </si>
  <si>
    <t>1550 W. Main Street</t>
  </si>
  <si>
    <t>WEST JEFFERSON</t>
  </si>
  <si>
    <t>43162-9747</t>
  </si>
  <si>
    <t>CMH6</t>
  </si>
  <si>
    <t>3538 TRADEPORT CT</t>
  </si>
  <si>
    <t>LOCKBOURNE</t>
  </si>
  <si>
    <t>43137-9670</t>
  </si>
  <si>
    <t>CSG1</t>
  </si>
  <si>
    <t>280 BRIDGEPORT BLVD</t>
  </si>
  <si>
    <t>Moreland</t>
  </si>
  <si>
    <t>30259-2867</t>
  </si>
  <si>
    <t>CVG1</t>
  </si>
  <si>
    <t>1155 Worldwide Blvd</t>
  </si>
  <si>
    <t>Hebron</t>
  </si>
  <si>
    <t>41048</t>
  </si>
  <si>
    <t>CVG2</t>
  </si>
  <si>
    <t>1600 Worldwide Blvd</t>
  </si>
  <si>
    <t>CVG3</t>
  </si>
  <si>
    <t>3680 Langley Dr.</t>
  </si>
  <si>
    <t>CVG5</t>
  </si>
  <si>
    <t>2285 Litton Lane</t>
  </si>
  <si>
    <t>DAL2</t>
  </si>
  <si>
    <t>2601 S. Airfield Drive</t>
  </si>
  <si>
    <t>DFW Airport</t>
  </si>
  <si>
    <t>75261</t>
  </si>
  <si>
    <t>DAL3</t>
  </si>
  <si>
    <t>1301 Chalk Hill Rd</t>
  </si>
  <si>
    <t>75211</t>
  </si>
  <si>
    <t>DCA1</t>
  </si>
  <si>
    <t>1700 Sparrows Point Boulevard</t>
  </si>
  <si>
    <t>Sparrows Point</t>
  </si>
  <si>
    <t>21219</t>
  </si>
  <si>
    <t>DCA6</t>
  </si>
  <si>
    <t>6001 Bethlehem Blvd</t>
  </si>
  <si>
    <t>BALTIMORE</t>
  </si>
  <si>
    <t>21219-1041</t>
  </si>
  <si>
    <t>DDT1</t>
  </si>
  <si>
    <t>1400 E 10 MILE RD</t>
  </si>
  <si>
    <t>HAZEL PARK</t>
  </si>
  <si>
    <t>48030-1263</t>
  </si>
  <si>
    <t>DEN2</t>
  </si>
  <si>
    <t>22205 East 19th Ave</t>
  </si>
  <si>
    <t>Aurora</t>
  </si>
  <si>
    <t>CO</t>
  </si>
  <si>
    <t>80019</t>
  </si>
  <si>
    <t>DEN3</t>
  </si>
  <si>
    <t>14601 Grant Street</t>
  </si>
  <si>
    <t>Thornton</t>
  </si>
  <si>
    <t>80023</t>
  </si>
  <si>
    <t>DEN7</t>
  </si>
  <si>
    <t>22300 E 26th Ave</t>
  </si>
  <si>
    <t>AURORA</t>
  </si>
  <si>
    <t>80019-3609</t>
  </si>
  <si>
    <t>DET1</t>
  </si>
  <si>
    <t>39000 Amrhein Road</t>
  </si>
  <si>
    <t>Livonia</t>
  </si>
  <si>
    <t>48150</t>
  </si>
  <si>
    <t>DET2</t>
  </si>
  <si>
    <t>50500 M ound Rd</t>
  </si>
  <si>
    <t>Shelby Township</t>
  </si>
  <si>
    <t>48317-1318</t>
  </si>
  <si>
    <t>DFW1</t>
  </si>
  <si>
    <t>2700 Regent Blvd</t>
  </si>
  <si>
    <t>Irving</t>
  </si>
  <si>
    <t>75063</t>
  </si>
  <si>
    <t>DFW6</t>
  </si>
  <si>
    <t>940 W Bethel Road</t>
  </si>
  <si>
    <t>Coppell</t>
  </si>
  <si>
    <t>75019-4424</t>
  </si>
  <si>
    <t>DFW7</t>
  </si>
  <si>
    <t>700 Westport Parkway</t>
  </si>
  <si>
    <t>76177-4513</t>
  </si>
  <si>
    <t>DFW8</t>
  </si>
  <si>
    <t>DS01</t>
  </si>
  <si>
    <t>4792 Gregg Rd</t>
  </si>
  <si>
    <t>Pico Rivera</t>
  </si>
  <si>
    <t>90660</t>
  </si>
  <si>
    <t>DSM5</t>
  </si>
  <si>
    <t>500 32nd St SW</t>
  </si>
  <si>
    <t>Altoona</t>
  </si>
  <si>
    <t>IA</t>
  </si>
  <si>
    <t>50009</t>
  </si>
  <si>
    <t>DTW1</t>
  </si>
  <si>
    <t>32801 Ecorse Road</t>
  </si>
  <si>
    <t>48174</t>
  </si>
  <si>
    <t>EL96</t>
  </si>
  <si>
    <t>10 sigle lane, unit b</t>
  </si>
  <si>
    <t>Dayton</t>
  </si>
  <si>
    <t>08810</t>
  </si>
  <si>
    <t>EWR4</t>
  </si>
  <si>
    <t>50 New Canton Way</t>
  </si>
  <si>
    <t>Robbinsville</t>
  </si>
  <si>
    <t>08691-2350</t>
  </si>
  <si>
    <t>EWR5</t>
  </si>
  <si>
    <t>301 Blair Rd.</t>
  </si>
  <si>
    <t>Avenel</t>
  </si>
  <si>
    <t>07001</t>
  </si>
  <si>
    <t>EWR7</t>
  </si>
  <si>
    <t>EWR9</t>
  </si>
  <si>
    <t>8003 Industrial Parkway</t>
  </si>
  <si>
    <t>Carteret</t>
  </si>
  <si>
    <t>07008-3529</t>
  </si>
  <si>
    <t>FAT1</t>
  </si>
  <si>
    <t>3575 S. Orange Ave</t>
  </si>
  <si>
    <t>Fresno</t>
  </si>
  <si>
    <t>93725-9588</t>
  </si>
  <si>
    <t>FAT2</t>
  </si>
  <si>
    <t>3315 N KELSEY ST</t>
  </si>
  <si>
    <t>VISALIA</t>
  </si>
  <si>
    <t>93291-1882</t>
  </si>
  <si>
    <t>FTW1</t>
  </si>
  <si>
    <t>33333 LBJ FWY</t>
  </si>
  <si>
    <t>Dallas</t>
  </si>
  <si>
    <t>75241-7203</t>
  </si>
  <si>
    <t>FTW2</t>
  </si>
  <si>
    <t>2701 West Bethel Road</t>
  </si>
  <si>
    <t>FTW3</t>
  </si>
  <si>
    <t>15201 Heritage Pkwy</t>
  </si>
  <si>
    <t>76177-2517</t>
  </si>
  <si>
    <t>FTW5</t>
  </si>
  <si>
    <t>1475 AKRON WAY</t>
  </si>
  <si>
    <t>FORNEY</t>
  </si>
  <si>
    <t>75126-3566</t>
  </si>
  <si>
    <t>FTW6</t>
  </si>
  <si>
    <t>2601 W Bethel Road</t>
  </si>
  <si>
    <t>FTW9</t>
  </si>
  <si>
    <t>944 West Sandy Lake Road</t>
  </si>
  <si>
    <t>COPPELL</t>
  </si>
  <si>
    <t>75019-3989</t>
  </si>
  <si>
    <t>GEG2</t>
  </si>
  <si>
    <t>18007 E Garland Ave</t>
  </si>
  <si>
    <t>SPOKANE VALLEY</t>
  </si>
  <si>
    <t>99216</t>
  </si>
  <si>
    <t>GGE1</t>
  </si>
  <si>
    <t>Muse Paintbar 217 Patriot Place</t>
  </si>
  <si>
    <t>Foxborough</t>
  </si>
  <si>
    <t>02035</t>
  </si>
  <si>
    <t>GGE2</t>
  </si>
  <si>
    <t>Muse Paintbar 134 Main Street Port</t>
  </si>
  <si>
    <t>11777</t>
  </si>
  <si>
    <t>GGE3</t>
  </si>
  <si>
    <t>Muse Paintbar 55 N. Main Street</t>
  </si>
  <si>
    <t>Norwalk</t>
  </si>
  <si>
    <t>6854</t>
  </si>
  <si>
    <t>GGE4</t>
  </si>
  <si>
    <t>Muse Paintbar 34 Middle Neck Road</t>
  </si>
  <si>
    <t>Great Neck</t>
  </si>
  <si>
    <t>11021</t>
  </si>
  <si>
    <t>GGE5</t>
  </si>
  <si>
    <t>Muse Paintbar 837 Franklin Avenue</t>
  </si>
  <si>
    <t>Garden City</t>
  </si>
  <si>
    <t>11530</t>
  </si>
  <si>
    <t>GGE6</t>
  </si>
  <si>
    <t>Muse Paintbar 265 Market Street #2040</t>
  </si>
  <si>
    <t>Yonker</t>
  </si>
  <si>
    <t>10710</t>
  </si>
  <si>
    <t>GGE7</t>
  </si>
  <si>
    <t>Muse Paintbar 329 Greenwich Street</t>
  </si>
  <si>
    <t>New York</t>
  </si>
  <si>
    <t>10013</t>
  </si>
  <si>
    <t>GGE8</t>
  </si>
  <si>
    <t>Muse Paintbar 2920 District Ave #100</t>
  </si>
  <si>
    <t>Fairfax</t>
  </si>
  <si>
    <t>22031</t>
  </si>
  <si>
    <t>GRR1</t>
  </si>
  <si>
    <t>4500 68th St SE</t>
  </si>
  <si>
    <t>CALEDONIA</t>
  </si>
  <si>
    <t>49316-9141</t>
  </si>
  <si>
    <t>GSO1</t>
  </si>
  <si>
    <t>1656 OLD GREENSBORO RD</t>
  </si>
  <si>
    <t>KERNERSVILLE</t>
  </si>
  <si>
    <t>27284-6855</t>
  </si>
  <si>
    <t>GSP1</t>
  </si>
  <si>
    <t>402 John Dodd Rd</t>
  </si>
  <si>
    <t>Spartanburg</t>
  </si>
  <si>
    <t>29303</t>
  </si>
  <si>
    <t>GYR1</t>
  </si>
  <si>
    <t>605 143rd Ave</t>
  </si>
  <si>
    <t>GOODYEAR</t>
  </si>
  <si>
    <t>85338</t>
  </si>
  <si>
    <t>GYR2</t>
  </si>
  <si>
    <t>17341 W MINNEZONA AVE</t>
  </si>
  <si>
    <t>85395-7672</t>
  </si>
  <si>
    <t>GYR3</t>
  </si>
  <si>
    <t>8181 W ROOSEVELT ST</t>
  </si>
  <si>
    <t>85043-2356</t>
  </si>
  <si>
    <t>HOU1</t>
  </si>
  <si>
    <t>8120 Humble Westfield Rd</t>
  </si>
  <si>
    <t>Humble</t>
  </si>
  <si>
    <t>77338</t>
  </si>
  <si>
    <t>HOU2</t>
  </si>
  <si>
    <t>10550 Ella Blvd.</t>
  </si>
  <si>
    <t>Houston</t>
  </si>
  <si>
    <t>77038-2324</t>
  </si>
  <si>
    <t>HOU3</t>
  </si>
  <si>
    <t>31555 Highway 90 E</t>
  </si>
  <si>
    <t>Brookshire</t>
  </si>
  <si>
    <t>77423</t>
  </si>
  <si>
    <t>HOU7</t>
  </si>
  <si>
    <t>16225 Tomball Pkwy</t>
  </si>
  <si>
    <t>77064-1111</t>
  </si>
  <si>
    <t>HOU8</t>
  </si>
  <si>
    <t>2303 Hurricane Lane</t>
  </si>
  <si>
    <t>Fresno,</t>
  </si>
  <si>
    <t>77545</t>
  </si>
  <si>
    <t>ICT2</t>
  </si>
  <si>
    <t>7130 N BROADWAY AVE</t>
  </si>
  <si>
    <t>PARK CITY</t>
  </si>
  <si>
    <t>67219-1410</t>
  </si>
  <si>
    <t>IGQ2</t>
  </si>
  <si>
    <t>23257 S. Central Ave</t>
  </si>
  <si>
    <t>University Park</t>
  </si>
  <si>
    <t>60484-3271</t>
  </si>
  <si>
    <t>IND1</t>
  </si>
  <si>
    <t>4255 Anson Blvd</t>
  </si>
  <si>
    <t>Whitestown</t>
  </si>
  <si>
    <t>46075</t>
  </si>
  <si>
    <t>IND2</t>
  </si>
  <si>
    <t>715 Airtech Pkwy</t>
  </si>
  <si>
    <t>46168-7442</t>
  </si>
  <si>
    <t>IND3</t>
  </si>
  <si>
    <t>715 Airtech Pkwy Suite 195</t>
  </si>
  <si>
    <t>46168</t>
  </si>
  <si>
    <t>IND4</t>
  </si>
  <si>
    <t>710 S. Girls School Rd</t>
  </si>
  <si>
    <t>Indianapolis</t>
  </si>
  <si>
    <t>46231-1132</t>
  </si>
  <si>
    <t>IND5</t>
  </si>
  <si>
    <t>800 Perry Road</t>
  </si>
  <si>
    <t>IND6</t>
  </si>
  <si>
    <t>1453 E 10th St</t>
  </si>
  <si>
    <t>Jeffersonville</t>
  </si>
  <si>
    <t>47130</t>
  </si>
  <si>
    <t>IND9</t>
  </si>
  <si>
    <t>1151 S GRAHAM RD</t>
  </si>
  <si>
    <t>GREENWOOD</t>
  </si>
  <si>
    <t>46143-7830</t>
  </si>
  <si>
    <t>ITX1</t>
  </si>
  <si>
    <t>9851 Fallbrook Pines Drive Suite 100</t>
  </si>
  <si>
    <t>77064-3329</t>
  </si>
  <si>
    <t>ITX2</t>
  </si>
  <si>
    <t>6911 FAIRBANKS N HOUSTON RD SUITE 160</t>
  </si>
  <si>
    <t>77040-1437</t>
  </si>
  <si>
    <t>IVSA</t>
  </si>
  <si>
    <t>4620 Olympic Blvd</t>
  </si>
  <si>
    <t>Erlanger</t>
  </si>
  <si>
    <t>41018</t>
  </si>
  <si>
    <t>IVSB</t>
  </si>
  <si>
    <t>3521 POINT PLEASANT RD</t>
  </si>
  <si>
    <t>HEBRON</t>
  </si>
  <si>
    <t>IVSC</t>
  </si>
  <si>
    <t>Uno - West Deptford 1225 Forest Parkway West Deptf</t>
  </si>
  <si>
    <t>IVSD</t>
  </si>
  <si>
    <t>UNO - Swedesboro NJ 800 Arlington Blvd Swedesboro</t>
  </si>
  <si>
    <t>Swedesboro</t>
  </si>
  <si>
    <t>08085</t>
  </si>
  <si>
    <t>IVSE</t>
  </si>
  <si>
    <t>2951 MARION DR UNIT 101</t>
  </si>
  <si>
    <t>89115-3467</t>
  </si>
  <si>
    <t>IVSF</t>
  </si>
  <si>
    <t>2821 MARION DR STE 109</t>
  </si>
  <si>
    <t>89115</t>
  </si>
  <si>
    <t>JAX2</t>
  </si>
  <si>
    <t>12900 Pecan Park Road</t>
  </si>
  <si>
    <t>Jacksonville</t>
  </si>
  <si>
    <t>32218</t>
  </si>
  <si>
    <t>JAX3</t>
  </si>
  <si>
    <t>13333 103rd Street</t>
  </si>
  <si>
    <t>32210-8686</t>
  </si>
  <si>
    <t>JFK8</t>
  </si>
  <si>
    <t>546 Gulf Avenue</t>
  </si>
  <si>
    <t>Staten Island</t>
  </si>
  <si>
    <t>10314</t>
  </si>
  <si>
    <t>JVL1</t>
  </si>
  <si>
    <t>1255 GATEWAY BLVD</t>
  </si>
  <si>
    <t>BELOIT</t>
  </si>
  <si>
    <t>WI</t>
  </si>
  <si>
    <t>53511-9709</t>
  </si>
  <si>
    <t>K1W1</t>
  </si>
  <si>
    <t>4401 Eucalyptus Ave Unit 120</t>
  </si>
  <si>
    <t>91710</t>
  </si>
  <si>
    <t>KRB1</t>
  </si>
  <si>
    <t>555 E ORANGE SHOW RD</t>
  </si>
  <si>
    <t>92408</t>
  </si>
  <si>
    <t>KRB2</t>
  </si>
  <si>
    <t>7000 HARDWARE DR</t>
  </si>
  <si>
    <t>PRINCE GEORGE</t>
  </si>
  <si>
    <t>23875-3041</t>
  </si>
  <si>
    <t>KRB4</t>
  </si>
  <si>
    <t>4501 PATTERSON AVE</t>
  </si>
  <si>
    <t>PERRIS</t>
  </si>
  <si>
    <t>92571-9722</t>
  </si>
  <si>
    <t>LAS1</t>
  </si>
  <si>
    <t>12300 Bermuda Road</t>
  </si>
  <si>
    <t>HENDERSON</t>
  </si>
  <si>
    <t>89044-8746</t>
  </si>
  <si>
    <t>LAS2</t>
  </si>
  <si>
    <t>3837 Bay Lake Trail, Suite 111 North</t>
  </si>
  <si>
    <t>Las Vegas</t>
  </si>
  <si>
    <t>89030</t>
  </si>
  <si>
    <t>LAS6</t>
  </si>
  <si>
    <t>4550 Nexus Way</t>
  </si>
  <si>
    <t>LAS7</t>
  </si>
  <si>
    <t>6001 East Tropical Parkway</t>
  </si>
  <si>
    <t>89115-1935</t>
  </si>
  <si>
    <t>LAX9</t>
  </si>
  <si>
    <t>11263 Oleander Ave</t>
  </si>
  <si>
    <t>FONTANA</t>
  </si>
  <si>
    <t>92337</t>
  </si>
  <si>
    <t>LEX1</t>
  </si>
  <si>
    <t>1850 Mercer RD</t>
  </si>
  <si>
    <t>Lexington</t>
  </si>
  <si>
    <t>40511</t>
  </si>
  <si>
    <t>LEX2</t>
  </si>
  <si>
    <t>172 Trade St.</t>
  </si>
  <si>
    <t>LFSI</t>
  </si>
  <si>
    <t>761 Fifth Ave</t>
  </si>
  <si>
    <t>King of Prussia</t>
  </si>
  <si>
    <t>19406</t>
  </si>
  <si>
    <t>LGA9</t>
  </si>
  <si>
    <t>2170 Route 27</t>
  </si>
  <si>
    <t>Edison</t>
  </si>
  <si>
    <t>08817</t>
  </si>
  <si>
    <t>LGB3</t>
  </si>
  <si>
    <t>4950 Goodman Way</t>
  </si>
  <si>
    <t>Eastvale</t>
  </si>
  <si>
    <t>91752</t>
  </si>
  <si>
    <t>LGB4</t>
  </si>
  <si>
    <t>27517 Pioneer Avenue</t>
  </si>
  <si>
    <t>Redlands</t>
  </si>
  <si>
    <t>92374-1501</t>
  </si>
  <si>
    <t>LGB6</t>
  </si>
  <si>
    <t>20901 Krameria Ave</t>
  </si>
  <si>
    <t>Riverside</t>
  </si>
  <si>
    <t>92518-1513</t>
  </si>
  <si>
    <t>LGB7</t>
  </si>
  <si>
    <t>1660 N. Linden</t>
  </si>
  <si>
    <t>Avenue Rialto</t>
  </si>
  <si>
    <t>92376-2427</t>
  </si>
  <si>
    <t>LGB8</t>
  </si>
  <si>
    <t>1568 N Linden Ave</t>
  </si>
  <si>
    <t>Rialto</t>
  </si>
  <si>
    <t>92376-8624</t>
  </si>
  <si>
    <t>LGB9</t>
  </si>
  <si>
    <t>4375 N Perris Blvd</t>
  </si>
  <si>
    <t>Perris</t>
  </si>
  <si>
    <t>92571</t>
  </si>
  <si>
    <t>LIT2</t>
  </si>
  <si>
    <t>13001 HIGHWAY 70</t>
  </si>
  <si>
    <t>NORTH LITTLE ROCK</t>
  </si>
  <si>
    <t>AR</t>
  </si>
  <si>
    <t>72117</t>
  </si>
  <si>
    <t>MCO2</t>
  </si>
  <si>
    <t>2600 N Normandy Blvd</t>
  </si>
  <si>
    <t>Deltona</t>
  </si>
  <si>
    <t>32725-2610</t>
  </si>
  <si>
    <t>MCI1</t>
  </si>
  <si>
    <t>113th St &amp; Renner Blvd.</t>
  </si>
  <si>
    <t>Lenexa</t>
  </si>
  <si>
    <t>66219</t>
  </si>
  <si>
    <t>MCO1</t>
  </si>
  <si>
    <t>12340 Boggy Creek Rd</t>
  </si>
  <si>
    <t>Orlando</t>
  </si>
  <si>
    <t>MDT1</t>
  </si>
  <si>
    <t>2 Ames Drive</t>
  </si>
  <si>
    <t>Carlisle</t>
  </si>
  <si>
    <t>17015-7871</t>
  </si>
  <si>
    <t>MDT2</t>
  </si>
  <si>
    <t>600 Principio Parkway  West</t>
  </si>
  <si>
    <t>North East</t>
  </si>
  <si>
    <t>MDW2</t>
  </si>
  <si>
    <t>250 Emerald Drive</t>
  </si>
  <si>
    <t>Joliet</t>
  </si>
  <si>
    <t>60433-3280</t>
  </si>
  <si>
    <t>MDW4</t>
  </si>
  <si>
    <t>201 EMERALD DR</t>
  </si>
  <si>
    <t>60433-3281</t>
  </si>
  <si>
    <t>MDW6</t>
  </si>
  <si>
    <t>1125 W REMINGTON BLVD ROMEOVILLE</t>
  </si>
  <si>
    <t>ROMEOVILLE</t>
  </si>
  <si>
    <t>60446-6529</t>
  </si>
  <si>
    <t>MDW7</t>
  </si>
  <si>
    <t>6605 Monee Manhattan Road</t>
  </si>
  <si>
    <t>Monee</t>
  </si>
  <si>
    <t>60449</t>
  </si>
  <si>
    <t>MDW8</t>
  </si>
  <si>
    <t>1750 Bridge Drive</t>
  </si>
  <si>
    <t>Waukegan</t>
  </si>
  <si>
    <t>60085</t>
  </si>
  <si>
    <t>MDW9</t>
  </si>
  <si>
    <t>2865 Duke Parkway</t>
  </si>
  <si>
    <t>60502-8200</t>
  </si>
  <si>
    <t>MEM1</t>
  </si>
  <si>
    <t>3292 E Holmes Rd</t>
  </si>
  <si>
    <t>Memphis</t>
  </si>
  <si>
    <t>38118-8102</t>
  </si>
  <si>
    <t>MEM2</t>
  </si>
  <si>
    <t>191 NORFOLK SOUTHERN WAY</t>
  </si>
  <si>
    <t>BYHALIA</t>
  </si>
  <si>
    <t>38611-2306</t>
  </si>
  <si>
    <t>MEM4</t>
  </si>
  <si>
    <t>4055 NEW ALLEN RD</t>
  </si>
  <si>
    <t>MEMPHIS</t>
  </si>
  <si>
    <t>38128-2718</t>
  </si>
  <si>
    <t>MGE1</t>
  </si>
  <si>
    <t>650 Broadway Avenue</t>
  </si>
  <si>
    <t>30517-3002</t>
  </si>
  <si>
    <t>MGE3</t>
  </si>
  <si>
    <t>808 Hog Mountain Road</t>
  </si>
  <si>
    <t>30549</t>
  </si>
  <si>
    <t>MIA1</t>
  </si>
  <si>
    <t>1900 NW 132nd Place Doral</t>
  </si>
  <si>
    <t>Miami</t>
  </si>
  <si>
    <t>33182</t>
  </si>
  <si>
    <t>MIA1-33054</t>
  </si>
  <si>
    <t>14000 NW 37th Avenue</t>
  </si>
  <si>
    <t>Opa-Locka</t>
  </si>
  <si>
    <t>33054</t>
  </si>
  <si>
    <t>MKC4</t>
  </si>
  <si>
    <t>19645 Waverly Rd</t>
  </si>
  <si>
    <t>Edgerton</t>
  </si>
  <si>
    <t>66021-9588</t>
  </si>
  <si>
    <t>MKC6</t>
  </si>
  <si>
    <t>6925 Riverview Avenue</t>
  </si>
  <si>
    <t>Kansas City</t>
  </si>
  <si>
    <t>66102</t>
  </si>
  <si>
    <t>MKE1</t>
  </si>
  <si>
    <t>3501 120th Ave,Kenosha,WI 53144</t>
  </si>
  <si>
    <t>Kenosha</t>
  </si>
  <si>
    <t>53144</t>
  </si>
  <si>
    <t>MKE2</t>
  </si>
  <si>
    <t>9700 S 13th Street</t>
  </si>
  <si>
    <t>OAK CREEK</t>
  </si>
  <si>
    <t>53154-4925</t>
  </si>
  <si>
    <t>MQJ1</t>
  </si>
  <si>
    <t>4412 W 300 N</t>
  </si>
  <si>
    <t>GREENFIELD</t>
  </si>
  <si>
    <t>46140-7099</t>
  </si>
  <si>
    <t>MQJ2</t>
  </si>
  <si>
    <t>19 BOB GLIDDEN BLVD</t>
  </si>
  <si>
    <t>WHITELAND</t>
  </si>
  <si>
    <t>46184-9108</t>
  </si>
  <si>
    <t>MSP1</t>
  </si>
  <si>
    <t>2601 4th Avenue East</t>
  </si>
  <si>
    <t>Shakopee</t>
  </si>
  <si>
    <t>MN</t>
  </si>
  <si>
    <t>55379</t>
  </si>
  <si>
    <t>OAK3</t>
  </si>
  <si>
    <t>255 Park Center Drive</t>
  </si>
  <si>
    <t>Patterson</t>
  </si>
  <si>
    <t>95363-8876</t>
  </si>
  <si>
    <t>OAK4</t>
  </si>
  <si>
    <t>1555 N. Chrisman Rd</t>
  </si>
  <si>
    <t>Tracy</t>
  </si>
  <si>
    <t>95376</t>
  </si>
  <si>
    <t>OHT9</t>
  </si>
  <si>
    <t>2125 West San Bernardino Ave</t>
  </si>
  <si>
    <t>92374-5005</t>
  </si>
  <si>
    <t>OKC1</t>
  </si>
  <si>
    <t>9201 S Portland Avenue</t>
  </si>
  <si>
    <t>OKLAHOMA CITY</t>
  </si>
  <si>
    <t>OK</t>
  </si>
  <si>
    <t>73159-0003</t>
  </si>
  <si>
    <t>OKC2</t>
  </si>
  <si>
    <t>8991 S Portland Avenue</t>
  </si>
  <si>
    <t>ONT2</t>
  </si>
  <si>
    <t>1910 E Central Ave</t>
  </si>
  <si>
    <t>San Bernardino</t>
  </si>
  <si>
    <t>92408-0123</t>
  </si>
  <si>
    <t>ONT6</t>
  </si>
  <si>
    <t>24208 San Michele Rd</t>
  </si>
  <si>
    <t>Moreno Valley</t>
  </si>
  <si>
    <t>92551-9561</t>
  </si>
  <si>
    <t>ONT7</t>
  </si>
  <si>
    <t>2125 W. San Bernandino Ave.</t>
  </si>
  <si>
    <t>92374</t>
  </si>
  <si>
    <t>ONT8</t>
  </si>
  <si>
    <t>24300 Nandina Ave</t>
  </si>
  <si>
    <t>92551-9534</t>
  </si>
  <si>
    <t>ONT9</t>
  </si>
  <si>
    <t>2125 W. San Bernandino Ave</t>
  </si>
  <si>
    <t>ORD2</t>
  </si>
  <si>
    <t>23714 W Amoco Rd</t>
  </si>
  <si>
    <t>CHANNAHON</t>
  </si>
  <si>
    <t>60410-8758</t>
  </si>
  <si>
    <t>ORD6</t>
  </si>
  <si>
    <t>1250 N Mittel Blvd</t>
  </si>
  <si>
    <t>Wood Dale</t>
  </si>
  <si>
    <t>60191</t>
  </si>
  <si>
    <t>PCA1</t>
  </si>
  <si>
    <t>1565 N MacArthur Dr</t>
  </si>
  <si>
    <t>PCW1</t>
  </si>
  <si>
    <t>27400 Crossroads Pkwy</t>
  </si>
  <si>
    <t>ROSSFORD</t>
  </si>
  <si>
    <t>43460-1706</t>
  </si>
  <si>
    <t>PDX6</t>
  </si>
  <si>
    <t>15000 N. Lombard St</t>
  </si>
  <si>
    <t>Portland</t>
  </si>
  <si>
    <t>OR</t>
  </si>
  <si>
    <t>97203-6814</t>
  </si>
  <si>
    <t>PDX7</t>
  </si>
  <si>
    <t>4775 Depot Ct SE</t>
  </si>
  <si>
    <t>Salem</t>
  </si>
  <si>
    <t>97317-8983</t>
  </si>
  <si>
    <t>PDX9</t>
  </si>
  <si>
    <t>1250 NW Swigert Way</t>
  </si>
  <si>
    <t>Troutdale</t>
  </si>
  <si>
    <t>97060</t>
  </si>
  <si>
    <t>PHL1</t>
  </si>
  <si>
    <t>1 Centerpoint Blvd.</t>
  </si>
  <si>
    <t>New Castle</t>
  </si>
  <si>
    <t>DE</t>
  </si>
  <si>
    <t>19720</t>
  </si>
  <si>
    <t>PHL3</t>
  </si>
  <si>
    <t>1600 Johnson Way</t>
  </si>
  <si>
    <t>PHL4</t>
  </si>
  <si>
    <t>21 Roadway Dr</t>
  </si>
  <si>
    <t>17015-8806</t>
  </si>
  <si>
    <t>PHL5</t>
  </si>
  <si>
    <t>500 McCarthy Dr</t>
  </si>
  <si>
    <t>Lewisberry</t>
  </si>
  <si>
    <t>17339-8725</t>
  </si>
  <si>
    <t>PHL6</t>
  </si>
  <si>
    <t>675 Allen Rd.</t>
  </si>
  <si>
    <t>17015-7788</t>
  </si>
  <si>
    <t>PHL7</t>
  </si>
  <si>
    <t>560 Merrimac Ave</t>
  </si>
  <si>
    <t>Middletown</t>
  </si>
  <si>
    <t>19709</t>
  </si>
  <si>
    <t>PHL8</t>
  </si>
  <si>
    <t>727 N Broad St</t>
  </si>
  <si>
    <t>PHX3</t>
  </si>
  <si>
    <t>6835 West Buckeye Road</t>
  </si>
  <si>
    <t>85043-4428</t>
  </si>
  <si>
    <t>PHX5</t>
  </si>
  <si>
    <t>16920 W Commerce Drive</t>
  </si>
  <si>
    <t>Goodyear</t>
  </si>
  <si>
    <t>85338-3620</t>
  </si>
  <si>
    <t>PHX6</t>
  </si>
  <si>
    <t>4750 West Mohave St</t>
  </si>
  <si>
    <t>85043</t>
  </si>
  <si>
    <t>PHX7</t>
  </si>
  <si>
    <t>800 N 75th Ave</t>
  </si>
  <si>
    <t>85043-2101</t>
  </si>
  <si>
    <t>PIT1</t>
  </si>
  <si>
    <t>2250 Roswell Drive</t>
  </si>
  <si>
    <t>Pittsburgh</t>
  </si>
  <si>
    <t>15205</t>
  </si>
  <si>
    <t>PIT2</t>
  </si>
  <si>
    <t>1200 Westport Rd</t>
  </si>
  <si>
    <t>IMPERIAL</t>
  </si>
  <si>
    <t>15126-1002</t>
  </si>
  <si>
    <t>RDG1</t>
  </si>
  <si>
    <t>3563 Mountain Road</t>
  </si>
  <si>
    <t>HAMBURG</t>
  </si>
  <si>
    <t>19526</t>
  </si>
  <si>
    <t>RDU1</t>
  </si>
  <si>
    <t>4851 Jones Sausage Rd</t>
  </si>
  <si>
    <t>GARNER</t>
  </si>
  <si>
    <t>27529-9438</t>
  </si>
  <si>
    <t>RIC1</t>
  </si>
  <si>
    <t>5000 Commerce Way</t>
  </si>
  <si>
    <t>Petersburg</t>
  </si>
  <si>
    <t>23803</t>
  </si>
  <si>
    <t>RIC2</t>
  </si>
  <si>
    <t>1901 Meadowville Technology Pkwy</t>
  </si>
  <si>
    <t>Chester</t>
  </si>
  <si>
    <t>23836</t>
  </si>
  <si>
    <t>RIC3</t>
  </si>
  <si>
    <t>across the street fm 1901 Meadowville Technology Parkway</t>
  </si>
  <si>
    <t>RNO1</t>
  </si>
  <si>
    <t>1600 East Newlands RD</t>
  </si>
  <si>
    <t>Fernley</t>
  </si>
  <si>
    <t>89408</t>
  </si>
  <si>
    <t>RNO2</t>
  </si>
  <si>
    <t>8000 North Virginia Street</t>
  </si>
  <si>
    <t>Reno</t>
  </si>
  <si>
    <t>85906</t>
  </si>
  <si>
    <t>RNO4</t>
  </si>
  <si>
    <t>89506</t>
  </si>
  <si>
    <t>SAM1</t>
  </si>
  <si>
    <t>749 South Lemon Avenue</t>
  </si>
  <si>
    <t>walnut</t>
  </si>
  <si>
    <t>91789</t>
  </si>
  <si>
    <t>SAT1</t>
  </si>
  <si>
    <t>6000 Enterprise Avenue</t>
  </si>
  <si>
    <t>Schertz</t>
  </si>
  <si>
    <t>78154-1461</t>
  </si>
  <si>
    <t>SAT2</t>
  </si>
  <si>
    <t>1401 E McCarty Lane</t>
  </si>
  <si>
    <t>San Marcos</t>
  </si>
  <si>
    <t>78666-8969</t>
  </si>
  <si>
    <t>SAT4</t>
  </si>
  <si>
    <t>10384 W US HIGHWAY 90</t>
  </si>
  <si>
    <t>SAN ANTONIO</t>
  </si>
  <si>
    <t>78245-9512</t>
  </si>
  <si>
    <t>SAV3</t>
  </si>
  <si>
    <t>7001 Skipper Rd,</t>
  </si>
  <si>
    <t>Macon</t>
  </si>
  <si>
    <t>31216-6427</t>
  </si>
  <si>
    <t>SBD1</t>
  </si>
  <si>
    <t>3388 S Cactus Ave</t>
  </si>
  <si>
    <t>BLOOMINGTON</t>
  </si>
  <si>
    <t>92316-3819</t>
  </si>
  <si>
    <t>SBD2</t>
  </si>
  <si>
    <t>92408-2805</t>
  </si>
  <si>
    <t>SBD3</t>
  </si>
  <si>
    <t>5990 N Cajon Blvd</t>
  </si>
  <si>
    <t>92407-1833</t>
  </si>
  <si>
    <t>SCK1</t>
  </si>
  <si>
    <t>95215</t>
  </si>
  <si>
    <t>SCK3</t>
  </si>
  <si>
    <t>3565 N AIRPORT WAY</t>
  </si>
  <si>
    <t>MANTECA</t>
  </si>
  <si>
    <t>95336-8696</t>
  </si>
  <si>
    <t>SDF1</t>
  </si>
  <si>
    <t>1050 South Columbia</t>
  </si>
  <si>
    <t>Campbellsville</t>
  </si>
  <si>
    <t>42718-2454</t>
  </si>
  <si>
    <t>SDF2</t>
  </si>
  <si>
    <t>4360 Robards Ln</t>
  </si>
  <si>
    <t>Watterson Park</t>
  </si>
  <si>
    <t>40218</t>
  </si>
  <si>
    <t>SDF4</t>
  </si>
  <si>
    <t>376 Zappos.com Blvd</t>
  </si>
  <si>
    <t>40165</t>
  </si>
  <si>
    <t>SDF6</t>
  </si>
  <si>
    <t>271 Omega Pkwy</t>
  </si>
  <si>
    <t>SDF7</t>
  </si>
  <si>
    <t>300 Omicron Court</t>
  </si>
  <si>
    <t>SDF8</t>
  </si>
  <si>
    <t>900 Patrol Rd</t>
  </si>
  <si>
    <t>47130-7761</t>
  </si>
  <si>
    <t>SDF9</t>
  </si>
  <si>
    <t>100 W. Thomas P. Echols Lane</t>
  </si>
  <si>
    <t>SEA6</t>
  </si>
  <si>
    <t>2646 Rainier Ave.</t>
  </si>
  <si>
    <t>South Seattle</t>
  </si>
  <si>
    <t>98144</t>
  </si>
  <si>
    <t>SEA8</t>
  </si>
  <si>
    <t>1475 124th Avenue</t>
  </si>
  <si>
    <t>Northeast Bellevue</t>
  </si>
  <si>
    <t>98005</t>
  </si>
  <si>
    <t>SJC7</t>
  </si>
  <si>
    <t>188 Mountain House Parkway</t>
  </si>
  <si>
    <t>95377-8906</t>
  </si>
  <si>
    <t>SJC8</t>
  </si>
  <si>
    <t>46724 Lakeview Blvd</t>
  </si>
  <si>
    <t>Fremont</t>
  </si>
  <si>
    <t>94538</t>
  </si>
  <si>
    <t>SLA5</t>
  </si>
  <si>
    <t>5250 Goodman Rd</t>
  </si>
  <si>
    <t>91752-5088</t>
  </si>
  <si>
    <t>SLC1</t>
  </si>
  <si>
    <t>777 N 5600 W</t>
  </si>
  <si>
    <t>SALT LAKE CITY</t>
  </si>
  <si>
    <t>UT</t>
  </si>
  <si>
    <t>84116</t>
  </si>
  <si>
    <t>SLC2</t>
  </si>
  <si>
    <t>7148 W. Old Bingham Hwy</t>
  </si>
  <si>
    <t>West Jordan</t>
  </si>
  <si>
    <t>84081</t>
  </si>
  <si>
    <t>SLC3</t>
  </si>
  <si>
    <t>355 N JOHN GLENN RD</t>
  </si>
  <si>
    <t>84116-4413</t>
  </si>
  <si>
    <t>SMF1</t>
  </si>
  <si>
    <t>4900 W Elkhorn Blvd</t>
  </si>
  <si>
    <t>95835-9505</t>
  </si>
  <si>
    <t>SMF3</t>
  </si>
  <si>
    <t>3923 S B ST</t>
  </si>
  <si>
    <t>Stockton</t>
  </si>
  <si>
    <t>95206-8202</t>
  </si>
  <si>
    <t>SMF6</t>
  </si>
  <si>
    <t>4930 ALLBAUGH DR</t>
  </si>
  <si>
    <t>SACRAMENTO</t>
  </si>
  <si>
    <t>95837-9109</t>
  </si>
  <si>
    <t>SMI1</t>
  </si>
  <si>
    <t>1400 E 10 MILE RD Suite 190</t>
  </si>
  <si>
    <t>SNA4</t>
  </si>
  <si>
    <t>2496 W Walnut Ave</t>
  </si>
  <si>
    <t>92376-3009</t>
  </si>
  <si>
    <t>STL3</t>
  </si>
  <si>
    <t>3200 E SAWYER RD</t>
  </si>
  <si>
    <t>REPUBLIC</t>
  </si>
  <si>
    <t>MO</t>
  </si>
  <si>
    <t>65738-2779</t>
  </si>
  <si>
    <t>STL4</t>
  </si>
  <si>
    <t>3050 GATEWAY COMMERCE CENTER DR S</t>
  </si>
  <si>
    <t>Edwardsville</t>
  </si>
  <si>
    <t>62025-2815</t>
  </si>
  <si>
    <t>STL6</t>
  </si>
  <si>
    <t>3931 Lakeview Corporate Drive</t>
  </si>
  <si>
    <t>62025-2801</t>
  </si>
  <si>
    <t>STL8</t>
  </si>
  <si>
    <t>4000 Premier Parkway SAINT PETERS</t>
  </si>
  <si>
    <t>SAINT PETERS</t>
  </si>
  <si>
    <t>63376-3447</t>
  </si>
  <si>
    <t>SWF1</t>
  </si>
  <si>
    <t>635 INTERNATIONAL BLVD</t>
  </si>
  <si>
    <t>ROCK TAVERN</t>
  </si>
  <si>
    <t>12575-5150</t>
  </si>
  <si>
    <t>TEB3</t>
  </si>
  <si>
    <t>2651 Oldmans Creek Rd</t>
  </si>
  <si>
    <t>Logan Township</t>
  </si>
  <si>
    <t>08085-4503</t>
  </si>
  <si>
    <t>TEB4</t>
  </si>
  <si>
    <t>747 Courses Landing Rd</t>
  </si>
  <si>
    <t>Penns Grove</t>
  </si>
  <si>
    <t>08069</t>
  </si>
  <si>
    <t>TEB6</t>
  </si>
  <si>
    <t>22 Hightstown Cranbury State Road</t>
  </si>
  <si>
    <t>Cranbury</t>
  </si>
  <si>
    <t>08512</t>
  </si>
  <si>
    <t>TEB9</t>
  </si>
  <si>
    <t>601 Randolph Road</t>
  </si>
  <si>
    <t>SOMERSET</t>
  </si>
  <si>
    <t>08873</t>
  </si>
  <si>
    <t>TFC1</t>
  </si>
  <si>
    <t>5050 West Mohave St</t>
  </si>
  <si>
    <t>TPA1</t>
  </si>
  <si>
    <t>3350 Laurel Ridge Ave.</t>
  </si>
  <si>
    <t>Ruskin</t>
  </si>
  <si>
    <t>33570</t>
  </si>
  <si>
    <t>TPA2</t>
  </si>
  <si>
    <t>1760 County Line Rd</t>
  </si>
  <si>
    <t>Lakeland</t>
  </si>
  <si>
    <t>33811</t>
  </si>
  <si>
    <t>TPA3</t>
  </si>
  <si>
    <t>676 C Fred Jones Blvd</t>
  </si>
  <si>
    <t>Auburndale</t>
  </si>
  <si>
    <t>33823-9429</t>
  </si>
  <si>
    <t>TPA6</t>
  </si>
  <si>
    <t>3400 NW 35th St Rd</t>
  </si>
  <si>
    <t>OCALA</t>
  </si>
  <si>
    <t>34475-4625</t>
  </si>
  <si>
    <t>TTN2</t>
  </si>
  <si>
    <t>343 Cranbury Half Acre Rd</t>
  </si>
  <si>
    <t>East Windsor</t>
  </si>
  <si>
    <t>08512-3253</t>
  </si>
  <si>
    <t>TUL1</t>
  </si>
  <si>
    <t>2654 North Highway 169</t>
  </si>
  <si>
    <t>Coffeyville</t>
  </si>
  <si>
    <t>67337</t>
  </si>
  <si>
    <t>TUS2</t>
  </si>
  <si>
    <t>6701 S KOLB RD</t>
  </si>
  <si>
    <t>TUCSON</t>
  </si>
  <si>
    <t>85756-9271</t>
  </si>
  <si>
    <t>VUAT</t>
  </si>
  <si>
    <t>6855 Shannon Pkwy</t>
  </si>
  <si>
    <t>30291</t>
  </si>
  <si>
    <t>VUBA</t>
  </si>
  <si>
    <t>1000 Keystone Industrial Park</t>
  </si>
  <si>
    <t>Scranton</t>
  </si>
  <si>
    <t>18512</t>
  </si>
  <si>
    <t>VUGA</t>
  </si>
  <si>
    <t>508 Delaware Avenue West</t>
  </si>
  <si>
    <t>Pittston</t>
  </si>
  <si>
    <t>18643</t>
  </si>
  <si>
    <t>XEW2</t>
  </si>
  <si>
    <t>6855 SHANNON PKWY</t>
  </si>
  <si>
    <t>30291-2009</t>
  </si>
  <si>
    <t>XIX6</t>
  </si>
  <si>
    <t>10681 Production Ave</t>
  </si>
  <si>
    <t>Fontana</t>
  </si>
  <si>
    <t>92337-8006</t>
  </si>
  <si>
    <t>XIX7</t>
  </si>
  <si>
    <t>555E ORANGE SHOW RD</t>
  </si>
  <si>
    <t>XUSB</t>
  </si>
  <si>
    <t>14900 Frye Rd.</t>
  </si>
  <si>
    <t>76155</t>
  </si>
  <si>
    <t>XUSC</t>
  </si>
  <si>
    <t>40 Logistics Drive</t>
  </si>
  <si>
    <t>17013</t>
  </si>
  <si>
    <t>XUSD</t>
  </si>
  <si>
    <t>1909 Zephyr St</t>
  </si>
  <si>
    <t>95206</t>
  </si>
  <si>
    <t>XUSE</t>
  </si>
  <si>
    <t>5100 S Indianapolis Rd</t>
  </si>
  <si>
    <t>TUL2</t>
  </si>
  <si>
    <t>4040 North 125th East Avenue</t>
  </si>
  <si>
    <t>TULSA</t>
  </si>
  <si>
    <t>74116-2102</t>
  </si>
  <si>
    <t>CLT6</t>
  </si>
  <si>
    <t>Pineville</t>
  </si>
  <si>
    <t>28134-9457</t>
  </si>
  <si>
    <t>SCK4</t>
  </si>
  <si>
    <t>6001 S AUSTIN RD</t>
  </si>
  <si>
    <t>95215-8354</t>
  </si>
  <si>
    <t>HSV1</t>
  </si>
  <si>
    <t>7817 Greenbrier Road</t>
  </si>
  <si>
    <t>35756-4403</t>
  </si>
  <si>
    <t>LFT1</t>
  </si>
  <si>
    <t>3550 NE EVANGELINE TRWY</t>
  </si>
  <si>
    <t>CARENCRO</t>
  </si>
  <si>
    <t>LA</t>
  </si>
  <si>
    <t>70520-5976</t>
  </si>
  <si>
    <t>FOE1</t>
  </si>
  <si>
    <t>9400 LEAVENWORTH RD</t>
  </si>
  <si>
    <t>KANSAS CITY</t>
  </si>
  <si>
    <t>66109-3665</t>
  </si>
  <si>
    <t>FAR1</t>
  </si>
  <si>
    <t>3701 40TH AVE N</t>
  </si>
  <si>
    <t>FARGO</t>
  </si>
  <si>
    <t>ND</t>
  </si>
  <si>
    <t>58102-7400</t>
  </si>
  <si>
    <t>AFW1</t>
  </si>
  <si>
    <t>1851 NE LOOP 820</t>
  </si>
  <si>
    <t>FORT WORTH</t>
  </si>
  <si>
    <t>76131-1694</t>
  </si>
  <si>
    <t>ILG1</t>
  </si>
  <si>
    <t>780 S. DuPont Highway</t>
  </si>
  <si>
    <t>NEW CASTLE</t>
  </si>
  <si>
    <t>19720-4610</t>
  </si>
  <si>
    <t>GEG1</t>
  </si>
  <si>
    <t>10010 West Geiger Boulevard</t>
  </si>
  <si>
    <t>SPOKANE</t>
  </si>
  <si>
    <t>99224-9471</t>
  </si>
  <si>
    <t>DEN8</t>
  </si>
  <si>
    <t>21000 E 13th Ave</t>
  </si>
  <si>
    <t>80018</t>
  </si>
  <si>
    <t>MCE1</t>
  </si>
  <si>
    <t>3200 Fulkerth Rd</t>
  </si>
  <si>
    <t>Turlock</t>
  </si>
  <si>
    <t>95380</t>
  </si>
  <si>
    <t>QXY9</t>
  </si>
  <si>
    <t>36900 W FOURTH ST</t>
  </si>
  <si>
    <t>FWA4</t>
  </si>
  <si>
    <t>9798 Smith Road</t>
  </si>
  <si>
    <t>FORT WAYNE</t>
  </si>
  <si>
    <t>46809-9771</t>
  </si>
  <si>
    <t>POC1</t>
  </si>
  <si>
    <t>4121 LYTLE CREEK RD</t>
  </si>
  <si>
    <t>92336-1123</t>
  </si>
  <si>
    <t>POC2</t>
  </si>
  <si>
    <t>4000 Hamner Ave</t>
  </si>
  <si>
    <t>Ontario</t>
  </si>
  <si>
    <t>POC3</t>
  </si>
  <si>
    <t>6120 Clinker Dr</t>
  </si>
  <si>
    <t>Jurupa Valley</t>
  </si>
  <si>
    <t>IUSR</t>
  </si>
  <si>
    <t>1120 Mt Olive Rd</t>
  </si>
  <si>
    <t>COWPENS</t>
  </si>
  <si>
    <t>HLI2</t>
  </si>
  <si>
    <t>600 Ernie Dr</t>
  </si>
  <si>
    <t>Hollister</t>
  </si>
  <si>
    <t>TCY2</t>
  </si>
  <si>
    <t>6201 Newcastle Rd</t>
  </si>
  <si>
    <t>TCY1</t>
  </si>
  <si>
    <t>2690 East Arch Airport Road</t>
  </si>
  <si>
    <t>IUST</t>
  </si>
  <si>
    <t>15651 Greenmount Rd</t>
  </si>
  <si>
    <t>HEA2</t>
  </si>
  <si>
    <t>650 BOULDER DR Suite A</t>
  </si>
  <si>
    <t>XEW5</t>
  </si>
  <si>
    <t>995 Taylors Ln</t>
  </si>
  <si>
    <t>Cinnaminson</t>
  </si>
  <si>
    <t>08077</t>
  </si>
  <si>
    <t>BWI5</t>
  </si>
  <si>
    <t>5501 Holabird Ave</t>
  </si>
  <si>
    <t>XAV3</t>
  </si>
  <si>
    <t>120 Crossgate Rd</t>
  </si>
  <si>
    <t>Port Wentworth</t>
  </si>
  <si>
    <t>QXY8</t>
  </si>
  <si>
    <t>3611 S NORTHPOINTE DR</t>
  </si>
  <si>
    <t>FRESNO</t>
  </si>
  <si>
    <t>93725-1962</t>
  </si>
  <si>
    <t>XPB2</t>
  </si>
  <si>
    <t>4661 Apopka Logistics Pkwy</t>
  </si>
  <si>
    <t>Apopka</t>
  </si>
  <si>
    <t>IUSW</t>
  </si>
  <si>
    <t>8130 Caliente Rd</t>
  </si>
  <si>
    <t>Hesperia</t>
  </si>
  <si>
    <t>MCC1</t>
  </si>
  <si>
    <t>3300 Rancho Cordova Pkwy</t>
  </si>
  <si>
    <t>Rancho Cordova</t>
  </si>
  <si>
    <t>IUTE</t>
  </si>
  <si>
    <t>16155 W Elwood St</t>
  </si>
  <si>
    <t>PSP3</t>
  </si>
  <si>
    <t>64165 19th AVE</t>
  </si>
  <si>
    <t>DESERT HOT SPRINGS</t>
  </si>
  <si>
    <t>CMH7</t>
  </si>
  <si>
    <t>1245 Beech Rd SW</t>
  </si>
  <si>
    <t>New Albany</t>
  </si>
  <si>
    <t>DFW6s</t>
  </si>
  <si>
    <t>14700 Blue Mound Rd</t>
  </si>
  <si>
    <t>TOL3</t>
  </si>
  <si>
    <t>9240 Fremont Pike</t>
  </si>
  <si>
    <t>PERRYSBURG</t>
  </si>
  <si>
    <t>43551-4210</t>
  </si>
  <si>
    <t>IND2T</t>
  </si>
  <si>
    <t>9360 AllPoints Pkwy. Suite 162</t>
  </si>
  <si>
    <t>POC2-</t>
  </si>
  <si>
    <t>4000 S PRIME PASEO</t>
  </si>
  <si>
    <t>ONTARIO</t>
  </si>
  <si>
    <t>QZZ7</t>
  </si>
  <si>
    <t>8560 E ELLIOT RD</t>
  </si>
  <si>
    <t>MESA</t>
  </si>
  <si>
    <t>MCI4</t>
  </si>
  <si>
    <t>10501 NW 136th Street</t>
  </si>
  <si>
    <t>BJC1</t>
  </si>
  <si>
    <t>6300 N Powhaton Road</t>
  </si>
  <si>
    <t>IMO1</t>
  </si>
  <si>
    <t>2361 S Withers RD</t>
  </si>
  <si>
    <t>LIBERTY</t>
  </si>
  <si>
    <t>64068-8933</t>
  </si>
  <si>
    <t>MCI3</t>
  </si>
  <si>
    <t>IGA3</t>
  </si>
  <si>
    <t>7001 Skipper Rd</t>
  </si>
  <si>
    <t>MACON</t>
  </si>
  <si>
    <t>ITX3</t>
  </si>
  <si>
    <t>8590 NE 24th Ave</t>
  </si>
  <si>
    <t>IMI1</t>
  </si>
  <si>
    <t>6500 W Mt Hope Hwy</t>
  </si>
  <si>
    <t>LANSING</t>
  </si>
  <si>
    <t>48917-8539</t>
  </si>
  <si>
    <t>IMS1</t>
  </si>
  <si>
    <t>11505 Progress Way</t>
  </si>
  <si>
    <t>OLIVE BRANCH</t>
  </si>
  <si>
    <t>38654-2510</t>
  </si>
  <si>
    <t>IUTJ</t>
  </si>
  <si>
    <t>9253 Dreamland Drive</t>
  </si>
  <si>
    <t>IUTL</t>
  </si>
  <si>
    <t>24405 Krameria Ave</t>
  </si>
  <si>
    <t>Moreno Valley</t>
  </si>
  <si>
    <t>IAZ1</t>
  </si>
  <si>
    <t>4660 N COTTON LN</t>
  </si>
  <si>
    <t>85395-4515</t>
  </si>
  <si>
    <t>INC1</t>
  </si>
  <si>
    <t>6309 Bragg Blvd</t>
  </si>
  <si>
    <t>FAYETTEVILLE</t>
  </si>
  <si>
    <t>28303-2215</t>
  </si>
  <si>
    <t>IWA6</t>
  </si>
  <si>
    <t>1202 S Road 40 E</t>
  </si>
  <si>
    <t>99301-6161</t>
  </si>
  <si>
    <t>MQY1</t>
  </si>
  <si>
    <t>6060 Golden Bear Gateway</t>
  </si>
  <si>
    <t>Mt. Juliet</t>
  </si>
  <si>
    <t>MQY2</t>
  </si>
  <si>
    <t>1301 Richard Petty Way</t>
  </si>
  <si>
    <t>LEBANON</t>
  </si>
  <si>
    <t>GEU2-</t>
  </si>
  <si>
    <t>15301 W Northern Ave</t>
  </si>
  <si>
    <t>IPA1</t>
  </si>
  <si>
    <t>1300 Corporate Way</t>
  </si>
  <si>
    <t>OLYPHANT</t>
  </si>
  <si>
    <t>18447-2140</t>
  </si>
  <si>
    <t>深圳宝安站点</t>
  </si>
  <si>
    <t>义乌站点</t>
  </si>
  <si>
    <t>上海松江站点</t>
  </si>
  <si>
    <t>上海青浦站点</t>
  </si>
  <si>
    <t>泉州站点</t>
  </si>
  <si>
    <t>厦门站点</t>
  </si>
  <si>
    <t>中山站点</t>
  </si>
  <si>
    <t>福州站点</t>
  </si>
  <si>
    <t>青岛站点</t>
  </si>
  <si>
    <t>温州站点</t>
  </si>
  <si>
    <t>合肥站点</t>
  </si>
  <si>
    <t>南城站点</t>
  </si>
  <si>
    <t>宁波站点</t>
  </si>
  <si>
    <t>杭州站点</t>
  </si>
  <si>
    <t>东莞清溪站点</t>
  </si>
  <si>
    <t>汕头站点</t>
  </si>
  <si>
    <t>金义站点</t>
  </si>
  <si>
    <t>临沂站点</t>
  </si>
  <si>
    <t>郑州站点</t>
  </si>
  <si>
    <t>渠道</t>
  </si>
  <si>
    <t>站点组</t>
  </si>
  <si>
    <t>华东组</t>
  </si>
  <si>
    <t>B16美转墨</t>
  </si>
  <si>
    <t>合德订舱业务</t>
  </si>
  <si>
    <t>华南组</t>
  </si>
  <si>
    <t>D14私人商业地址-纽约海铁联运</t>
  </si>
  <si>
    <t>空运组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</si>
</sst>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9"/>
      <color indexed="8"/>
      <name val="微软雅黑"/>
      <charset val="134"/>
    </font>
    <font>
      <sz val="9"/>
      <name val="微软雅黑"/>
      <charset val="134"/>
    </font>
    <font>
      <sz val="9"/>
      <color theme="1"/>
      <name val="微软雅黑"/>
      <charset val="134"/>
    </font>
    <font>
      <sz val="9"/>
      <color rgb="FFFF0000"/>
      <name val="微软雅黑"/>
      <charset val="134"/>
    </font>
    <font>
      <sz val="11"/>
      <color theme="1"/>
      <name val="宋体"/>
      <charset val="134"/>
      <scheme val="minor"/>
    </font>
    <font>
      <sz val="11"/>
      <color rgb="FFFF0000"/>
      <name val="宋体"/>
      <charset val="134"/>
      <scheme val="minor"/>
    </font>
    <font>
      <sz val="9"/>
      <color rgb="FF000000"/>
      <name val="微软雅黑"/>
      <charset val="134"/>
    </font>
    <font>
      <sz val="11"/>
      <color theme="1"/>
      <name val="Tahoma"/>
      <charset val="134"/>
    </font>
    <font>
      <sz val="12"/>
      <color theme="1"/>
      <name val="宋体"/>
      <charset val="134"/>
    </font>
    <font>
      <b/>
      <sz val="9"/>
      <color indexed="8"/>
      <name val="微软雅黑"/>
      <charset val="134"/>
    </font>
    <font>
      <b/>
      <sz val="9"/>
      <color rgb="FFFF0000"/>
      <name val="微软雅黑"/>
      <charset val="134"/>
    </font>
    <font>
      <sz val="11"/>
      <color theme="1"/>
      <name val="微软雅黑"/>
      <charset val="134"/>
    </font>
    <font>
      <b/>
      <sz val="11"/>
      <color rgb="FFFF0000"/>
      <name val="微软雅黑"/>
      <charset val="134"/>
    </font>
    <font>
      <sz val="8"/>
      <color rgb="FFFF0000"/>
      <name val="微软雅黑"/>
      <charset val="134"/>
    </font>
    <font>
      <sz val="9"/>
      <color indexed="11"/>
      <name val="微软雅黑"/>
      <charset val="134"/>
    </font>
    <font>
      <sz val="11"/>
      <color indexed="8"/>
      <name val="微软雅黑"/>
      <charset val="134"/>
    </font>
    <font>
      <sz val="10"/>
      <name val="微软雅黑"/>
      <charset val="134"/>
    </font>
    <font>
      <sz val="11"/>
      <color rgb="FFFF0000"/>
      <name val="微软雅黑"/>
      <charset val="134"/>
    </font>
    <font>
      <b/>
      <sz val="11"/>
      <name val="微软雅黑"/>
      <charset val="134"/>
    </font>
    <font>
      <sz val="9"/>
      <color rgb="FF777777"/>
      <name val="微软雅黑"/>
      <charset val="134"/>
    </font>
    <font>
      <sz val="10.5"/>
      <color rgb="FF002F36"/>
      <name val="Arial"/>
      <charset val="0"/>
    </font>
    <font>
      <sz val="10.5"/>
      <color rgb="FF232F3E"/>
      <name val="Arial"/>
      <charset val="0"/>
    </font>
    <font>
      <u/>
      <sz val="11"/>
      <color rgb="FF800080"/>
      <name val="宋体"/>
      <charset val="134"/>
      <scheme val="minor"/>
    </font>
    <font>
      <sz val="11"/>
      <color indexed="8"/>
      <name val="宋体"/>
      <charset val="134"/>
      <scheme val="minor"/>
    </font>
    <font>
      <u/>
      <sz val="11"/>
      <color rgb="FF0000FF"/>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2"/>
      <name val="宋体"/>
      <charset val="134"/>
    </font>
    <font>
      <sz val="11"/>
      <color indexed="8"/>
      <name val="宋体"/>
      <charset val="134"/>
    </font>
    <font>
      <b/>
      <sz val="8"/>
      <name val="微软雅黑"/>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rgb="FFDDDDDD"/>
      </bottom>
      <diagonal/>
    </border>
    <border>
      <left/>
      <right/>
      <top style="medium">
        <color rgb="FFDDDDDD"/>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thin">
        <color auto="1"/>
      </bottom>
      <diagonal/>
    </border>
  </borders>
  <cellStyleXfs count="53">
    <xf numFmtId="0" fontId="0" fillId="0" borderId="0" applyFill="0" applyBorder="0" applyProtection="0"/>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3" borderId="4" applyNumberFormat="0" applyFont="0" applyAlignment="0" applyProtection="0">
      <alignment vertical="center"/>
    </xf>
    <xf numFmtId="0" fontId="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4" borderId="7" applyNumberFormat="0" applyAlignment="0" applyProtection="0">
      <alignment vertical="center"/>
    </xf>
    <xf numFmtId="0" fontId="31" fillId="5" borderId="8" applyNumberFormat="0" applyAlignment="0" applyProtection="0">
      <alignment vertical="center"/>
    </xf>
    <xf numFmtId="0" fontId="32" fillId="5" borderId="7" applyNumberFormat="0" applyAlignment="0" applyProtection="0">
      <alignment vertical="center"/>
    </xf>
    <xf numFmtId="0" fontId="33" fillId="6" borderId="9" applyNumberFormat="0" applyAlignment="0" applyProtection="0">
      <alignment vertical="center"/>
    </xf>
    <xf numFmtId="0" fontId="34" fillId="0" borderId="10" applyNumberFormat="0" applyFill="0" applyAlignment="0" applyProtection="0">
      <alignment vertical="center"/>
    </xf>
    <xf numFmtId="0" fontId="35" fillId="0" borderId="11" applyNumberFormat="0" applyFill="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9" fillId="33" borderId="0" applyNumberFormat="0" applyBorder="0" applyAlignment="0" applyProtection="0">
      <alignment vertical="center"/>
    </xf>
    <xf numFmtId="0" fontId="40" fillId="0" borderId="0" applyBorder="0">
      <alignment vertical="center"/>
    </xf>
    <xf numFmtId="0" fontId="41" fillId="0" borderId="0" applyBorder="0">
      <alignment vertical="center"/>
    </xf>
    <xf numFmtId="0" fontId="0" fillId="0" borderId="0" applyFill="0" applyBorder="0" applyProtection="0"/>
    <xf numFmtId="0" fontId="40" fillId="0" borderId="12" applyFont="0" applyBorder="0" applyAlignment="0">
      <alignment horizontal="center" vertical="center"/>
    </xf>
  </cellStyleXfs>
  <cellXfs count="54">
    <xf numFmtId="0" fontId="0" fillId="0" borderId="0" xfId="0" applyFill="1" applyProtection="1"/>
    <xf numFmtId="0" fontId="0" fillId="0" borderId="0" xfId="0"/>
    <xf numFmtId="0" fontId="1" fillId="0" borderId="0" xfId="0" applyFont="1" applyFill="1" applyBorder="1" applyAlignment="1" applyProtection="1"/>
    <xf numFmtId="0" fontId="2" fillId="0" borderId="0" xfId="51" applyFont="1" applyFill="1" applyAlignment="1" applyProtection="1">
      <alignment horizontal="center" vertical="center"/>
    </xf>
    <xf numFmtId="0" fontId="3" fillId="0" borderId="0" xfId="51" applyFont="1" applyFill="1" applyAlignment="1" applyProtection="1">
      <alignment horizontal="center" vertical="center"/>
    </xf>
    <xf numFmtId="0" fontId="0" fillId="0" borderId="0" xfId="0" applyFont="1" applyFill="1" applyAlignment="1" applyProtection="1">
      <alignment horizontal="center" vertical="center"/>
    </xf>
    <xf numFmtId="0" fontId="2" fillId="0" borderId="0" xfId="51" applyFont="1" applyFill="1" applyBorder="1" applyAlignment="1" applyProtection="1">
      <alignment horizontal="center" vertical="center"/>
    </xf>
    <xf numFmtId="0" fontId="4" fillId="0" borderId="0" xfId="0" applyFont="1" applyFill="1" applyAlignment="1" applyProtection="1">
      <alignment horizontal="center" vertical="center"/>
    </xf>
    <xf numFmtId="0" fontId="3" fillId="0" borderId="0" xfId="0" applyFont="1" applyFill="1" applyAlignment="1" applyProtection="1">
      <alignment horizontal="center" vertical="center"/>
    </xf>
    <xf numFmtId="0" fontId="5" fillId="0" borderId="0" xfId="0" applyFont="1" applyFill="1" applyAlignment="1" applyProtection="1">
      <alignment horizontal="center" vertical="center"/>
    </xf>
    <xf numFmtId="49" fontId="2" fillId="0" borderId="0" xfId="51" applyNumberFormat="1" applyFont="1" applyFill="1" applyAlignment="1" applyProtection="1">
      <alignment horizontal="center" vertical="center"/>
    </xf>
    <xf numFmtId="0" fontId="0" fillId="0" borderId="0" xfId="0" applyAlignment="1">
      <alignment horizontal="center"/>
    </xf>
    <xf numFmtId="0" fontId="0" fillId="0" borderId="0" xfId="0" applyFill="1" applyAlignment="1" applyProtection="1">
      <alignment horizontal="center"/>
    </xf>
    <xf numFmtId="0" fontId="2" fillId="0" borderId="0" xfId="0" applyFont="1" applyFill="1" applyAlignment="1" applyProtection="1">
      <alignment horizontal="center" vertical="center"/>
    </xf>
    <xf numFmtId="0" fontId="2" fillId="0" borderId="0" xfId="51" applyFont="1" applyFill="1" applyAlignment="1" applyProtection="1">
      <alignment horizontal="center" vertical="center" wrapText="1"/>
    </xf>
    <xf numFmtId="0" fontId="6" fillId="0" borderId="0" xfId="0" applyFont="1" applyFill="1" applyBorder="1" applyAlignment="1" applyProtection="1">
      <alignment horizontal="center"/>
    </xf>
    <xf numFmtId="0" fontId="2" fillId="0" borderId="0" xfId="0" applyNumberFormat="1" applyFont="1" applyFill="1" applyAlignment="1" applyProtection="1">
      <alignment horizontal="center" vertical="center"/>
    </xf>
    <xf numFmtId="0" fontId="4" fillId="0" borderId="0" xfId="0" applyNumberFormat="1" applyFont="1" applyFill="1" applyAlignment="1" applyProtection="1">
      <alignment horizontal="center" vertical="center"/>
    </xf>
    <xf numFmtId="0" fontId="7" fillId="0" borderId="1" xfId="0" applyFont="1" applyFill="1" applyBorder="1" applyAlignment="1" applyProtection="1">
      <alignment horizontal="center" vertical="center" wrapText="1"/>
    </xf>
    <xf numFmtId="0" fontId="8" fillId="0" borderId="1" xfId="0" applyFont="1" applyFill="1" applyBorder="1" applyAlignment="1" applyProtection="1">
      <alignment horizontal="center" vertical="center" wrapText="1"/>
    </xf>
    <xf numFmtId="0" fontId="7" fillId="0" borderId="2" xfId="0" applyFont="1" applyFill="1" applyBorder="1" applyAlignment="1" applyProtection="1">
      <alignment horizontal="center" vertical="center" wrapText="1"/>
    </xf>
    <xf numFmtId="0" fontId="7" fillId="0" borderId="0" xfId="0" applyFont="1" applyFill="1" applyAlignment="1" applyProtection="1">
      <alignment horizontal="center" vertical="center" wrapText="1"/>
    </xf>
    <xf numFmtId="0" fontId="0" fillId="0" borderId="0" xfId="0" applyFill="1"/>
    <xf numFmtId="0" fontId="9" fillId="2" borderId="0" xfId="0" applyFont="1" applyFill="1" applyAlignment="1" applyProtection="1">
      <alignment vertical="center"/>
    </xf>
    <xf numFmtId="49" fontId="0" fillId="0" borderId="0" xfId="0" applyNumberFormat="1" applyFont="1" applyFill="1" applyAlignment="1" applyProtection="1"/>
    <xf numFmtId="49" fontId="0" fillId="0" borderId="0" xfId="0" applyNumberFormat="1" applyFill="1" applyProtection="1"/>
    <xf numFmtId="0" fontId="10" fillId="2" borderId="0" xfId="0" applyFont="1" applyFill="1" applyProtection="1"/>
    <xf numFmtId="0" fontId="11" fillId="0" borderId="0" xfId="0" applyFont="1" applyFill="1" applyAlignment="1" applyProtection="1">
      <alignment horizontal="center" vertical="center"/>
    </xf>
    <xf numFmtId="0" fontId="12" fillId="0" borderId="0" xfId="0" applyFont="1" applyFill="1" applyAlignment="1" applyProtection="1">
      <alignment horizontal="left" vertical="center"/>
    </xf>
    <xf numFmtId="0" fontId="13" fillId="0" borderId="3" xfId="0" applyFont="1" applyFill="1" applyBorder="1" applyAlignment="1" applyProtection="1">
      <alignment horizontal="center" vertical="top" wrapText="1"/>
    </xf>
    <xf numFmtId="0" fontId="14" fillId="0" borderId="0" xfId="0" applyFont="1" applyFill="1" applyAlignment="1" applyProtection="1">
      <alignment vertical="top"/>
    </xf>
    <xf numFmtId="0" fontId="10" fillId="2" borderId="0" xfId="0" applyFont="1" applyFill="1" applyAlignment="1" applyProtection="1">
      <alignment horizontal="left"/>
    </xf>
    <xf numFmtId="0" fontId="13" fillId="0" borderId="0" xfId="0" applyFont="1" applyFill="1" applyAlignment="1" applyProtection="1">
      <alignment horizontal="center" vertical="top" wrapText="1"/>
    </xf>
    <xf numFmtId="0" fontId="3" fillId="0" borderId="0" xfId="0" applyFont="1" applyFill="1" applyAlignment="1" applyProtection="1">
      <alignment vertical="top" wrapText="1"/>
    </xf>
    <xf numFmtId="0" fontId="9" fillId="2" borderId="0" xfId="0" applyFont="1" applyFill="1" applyProtection="1"/>
    <xf numFmtId="0" fontId="15" fillId="0" borderId="0" xfId="0" applyFont="1" applyFill="1" applyProtection="1"/>
    <xf numFmtId="0" fontId="16" fillId="0" borderId="0" xfId="0" applyNumberFormat="1" applyFont="1" applyFill="1" applyAlignment="1" applyProtection="1">
      <alignment vertical="center" wrapText="1"/>
    </xf>
    <xf numFmtId="0" fontId="15" fillId="0" borderId="0" xfId="0" applyFont="1" applyFill="1" applyAlignment="1" applyProtection="1">
      <alignment horizontal="left"/>
    </xf>
    <xf numFmtId="0" fontId="10" fillId="0" borderId="0" xfId="0" applyFont="1" applyFill="1" applyProtection="1"/>
    <xf numFmtId="0" fontId="0" fillId="0" borderId="0" xfId="0" applyFill="1" applyAlignment="1" applyProtection="1">
      <alignment wrapText="1"/>
    </xf>
    <xf numFmtId="0" fontId="0" fillId="0" borderId="0" xfId="0" applyFont="1" applyFill="1" applyAlignment="1" applyProtection="1"/>
    <xf numFmtId="0" fontId="0" fillId="0" borderId="0" xfId="0" applyFont="1" applyFill="1" applyAlignment="1" applyProtection="1">
      <alignment horizontal="center"/>
    </xf>
    <xf numFmtId="0" fontId="17" fillId="0" borderId="0" xfId="0" applyFont="1" applyFill="1" applyAlignment="1" applyProtection="1">
      <alignment horizontal="left" vertical="center"/>
    </xf>
    <xf numFmtId="0" fontId="0" fillId="0" borderId="0" xfId="0" applyFill="1" applyAlignment="1" applyProtection="1">
      <alignment horizontal="left"/>
    </xf>
    <xf numFmtId="0" fontId="12" fillId="2" borderId="0" xfId="0" applyFont="1" applyFill="1" applyProtection="1"/>
    <xf numFmtId="0" fontId="18" fillId="0" borderId="0" xfId="0" applyFont="1" applyFill="1" applyAlignment="1" applyProtection="1">
      <alignment horizontal="left" vertical="center" wrapText="1"/>
    </xf>
    <xf numFmtId="0" fontId="19" fillId="0" borderId="0" xfId="0" applyFont="1" applyFill="1" applyAlignment="1"/>
    <xf numFmtId="0" fontId="12" fillId="0" borderId="0" xfId="0" applyFont="1" applyFill="1" applyProtection="1"/>
    <xf numFmtId="0" fontId="10" fillId="2" borderId="0" xfId="0" applyFont="1" applyFill="1" applyAlignment="1" applyProtection="1">
      <alignment horizontal="center" vertical="center"/>
    </xf>
    <xf numFmtId="0" fontId="9" fillId="2" borderId="0" xfId="0" applyFont="1" applyFill="1" applyAlignment="1" applyProtection="1">
      <alignment horizontal="center" vertical="center"/>
    </xf>
    <xf numFmtId="49" fontId="20" fillId="0" borderId="0" xfId="0" applyNumberFormat="1" applyFont="1" applyAlignment="1"/>
    <xf numFmtId="49" fontId="21" fillId="0" borderId="0" xfId="0" applyNumberFormat="1" applyFont="1" applyAlignment="1"/>
    <xf numFmtId="49" fontId="2" fillId="0" borderId="0" xfId="0" applyNumberFormat="1" applyFont="1" applyFill="1" applyAlignment="1" applyProtection="1">
      <alignment horizontal="center" vertical="center"/>
    </xf>
    <xf numFmtId="49" fontId="22" fillId="0" borderId="0" xfId="6" applyNumberFormat="1" applyFont="1" applyFill="1" applyAlignment="1" applyProtection="1"/>
    <xf numFmtId="0" fontId="0" fillId="0" borderId="0" xfId="0" applyFont="1" applyFill="1" applyAlignment="1" applyProtection="1" quotePrefix="1">
      <alignment horizontal="center" vertical="center"/>
    </xf>
    <xf numFmtId="0" fontId="2" fillId="0" borderId="0" xfId="0" applyFont="1" applyFill="1" applyAlignment="1" applyProtection="1" quotePrefix="1">
      <alignment horizontal="center" vertical="center"/>
    </xf>
    <xf numFmtId="0" fontId="2" fillId="0" borderId="0" xfId="51" applyFont="1" applyFill="1" applyAlignment="1" applyProtection="1" quotePrefix="1">
      <alignment horizontal="center" vertical="center"/>
    </xf>
    <xf numFmtId="0" fontId="2" fillId="0" borderId="0" xfId="51" applyFont="1" applyFill="1" applyBorder="1" applyAlignment="1" applyProtection="1" quotePrefix="1">
      <alignment horizontal="center" vertical="center"/>
    </xf>
    <xf numFmtId="0" fontId="0" fillId="0" borderId="0" xfId="0" applyAlignment="1" quotePrefix="1">
      <alignment horizont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5" xfId="49"/>
    <cellStyle name="常规 5" xfId="50"/>
    <cellStyle name="常规 2" xfId="51"/>
    <cellStyle name="==== MS-DOS 6 Setup Modification - Begin ========_x000d_&#10;[AddOns]_x000d_&#10; 3 15" xfId="52"/>
  </cellStyles>
  <dxfs count="11">
    <dxf>
      <font>
        <color rgb="FF9C0006"/>
      </font>
      <fill>
        <patternFill patternType="solid">
          <bgColor rgb="FFFFC7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00777777"/>
      <color rgb="00800080"/>
      <color rgb="00232F3E"/>
      <color rgb="00002F36"/>
      <color rgb="0000FF00"/>
      <color rgb="00D9D9D9"/>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BD95DE3C-DB42-47B0-80F5-564293C94662\Documents\308203149_cloud_folder\&#32654;&#22269;&#31354;&#28023;&#36816;&#26368;&#26032;&#21457;&#31080;&#27169;&#29256;10&#26376;22&#26085;-2.xlsx\var\mobile\Containers\Data\Application\BD95DE3C-DB42-47B0-80F5-564293C94662\Documents\WpsQingCache_\308203149\o\LOCAL-3F768A16-CCF4-4493-ACAC-728E1A4FD43B\n\E:\Users\Administrator\Documents\WXWork\1688855906401265\Cache\File\2024-06\&#22320;&#22336;&#24211;\&#20122;&#39532;&#36874;&#22320;&#22336;10-1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Sheet2"/>
    </sheetNames>
    <sheetDataSet>
      <sheetData sheetId="0">
        <row r="1">
          <cell r="A1" t="str">
            <v>地址简称*</v>
          </cell>
          <cell r="B1" t="str">
            <v>地址编码*</v>
          </cell>
          <cell r="C1" t="str">
            <v>FBA仓库代码</v>
          </cell>
          <cell r="D1" t="str">
            <v>联系人*</v>
          </cell>
          <cell r="E1" t="str">
            <v>公司名</v>
          </cell>
          <cell r="F1" t="str">
            <v>联系电话</v>
          </cell>
          <cell r="G1" t="str">
            <v>联系手机</v>
          </cell>
          <cell r="H1" t="str">
            <v>地址一*</v>
          </cell>
          <cell r="I1" t="str">
            <v>地址二</v>
          </cell>
          <cell r="J1" t="str">
            <v>地址三</v>
          </cell>
          <cell r="K1" t="str">
            <v>城市*</v>
          </cell>
          <cell r="L1" t="str">
            <v>省/洲</v>
          </cell>
          <cell r="M1" t="str">
            <v>国家*</v>
          </cell>
          <cell r="N1" t="str">
            <v>邮编*</v>
          </cell>
        </row>
        <row r="2">
          <cell r="A2" t="str">
            <v>MKE5</v>
          </cell>
          <cell r="B2" t="str">
            <v>MKE5</v>
          </cell>
          <cell r="C2" t="str">
            <v>MKE5</v>
          </cell>
          <cell r="D2" t="str">
            <v>MKE5</v>
          </cell>
          <cell r="E2" t="str">
            <v>AMAZON</v>
          </cell>
          <cell r="F2" t="str">
            <v>0000000000</v>
          </cell>
        </row>
        <row r="2">
          <cell r="H2" t="str">
            <v>11211 Burlington Road</v>
          </cell>
        </row>
        <row r="2">
          <cell r="K2" t="str">
            <v>Kenosha</v>
          </cell>
          <cell r="L2" t="str">
            <v>WI</v>
          </cell>
          <cell r="M2" t="str">
            <v>US</v>
          </cell>
          <cell r="N2">
            <v>53144</v>
          </cell>
        </row>
        <row r="3">
          <cell r="A3" t="str">
            <v>BNA5</v>
          </cell>
          <cell r="B3" t="str">
            <v>BNA5</v>
          </cell>
          <cell r="C3" t="str">
            <v>BNA5</v>
          </cell>
          <cell r="D3" t="str">
            <v>BNA5</v>
          </cell>
          <cell r="E3" t="str">
            <v>AMAZON</v>
          </cell>
          <cell r="F3" t="str">
            <v>0000000000</v>
          </cell>
        </row>
        <row r="3">
          <cell r="H3" t="str">
            <v>50 Airways Blvd</v>
          </cell>
        </row>
        <row r="3">
          <cell r="K3" t="str">
            <v>Nashville</v>
          </cell>
          <cell r="L3" t="str">
            <v>TN</v>
          </cell>
          <cell r="M3" t="str">
            <v>US</v>
          </cell>
          <cell r="N3">
            <v>37217</v>
          </cell>
        </row>
        <row r="4">
          <cell r="A4" t="str">
            <v>ABE5</v>
          </cell>
          <cell r="B4" t="str">
            <v>ABE5</v>
          </cell>
          <cell r="C4" t="str">
            <v>ABE5</v>
          </cell>
          <cell r="D4" t="str">
            <v>ABE5</v>
          </cell>
          <cell r="E4" t="str">
            <v>AMAZON</v>
          </cell>
          <cell r="F4" t="str">
            <v>0000000000</v>
          </cell>
        </row>
        <row r="4">
          <cell r="H4" t="str">
            <v>6455 Allentown Boulevard</v>
          </cell>
        </row>
        <row r="4">
          <cell r="K4" t="str">
            <v>Harrisburg</v>
          </cell>
          <cell r="L4" t="str">
            <v>PA</v>
          </cell>
          <cell r="M4" t="str">
            <v>US</v>
          </cell>
          <cell r="N4" t="str">
            <v>17112</v>
          </cell>
        </row>
        <row r="5">
          <cell r="A5" t="str">
            <v>ABE8-309</v>
          </cell>
          <cell r="B5" t="str">
            <v>ABE8-309</v>
          </cell>
          <cell r="C5" t="str">
            <v>ABE8-309</v>
          </cell>
          <cell r="D5" t="str">
            <v>ABE8-309</v>
          </cell>
          <cell r="E5" t="str">
            <v>AMAZON</v>
          </cell>
          <cell r="F5" t="str">
            <v>0000000000</v>
          </cell>
        </row>
        <row r="5">
          <cell r="H5" t="str">
            <v>309 Cedar Lane</v>
          </cell>
        </row>
        <row r="5">
          <cell r="K5" t="str">
            <v>Florence</v>
          </cell>
          <cell r="L5" t="str">
            <v>NJ</v>
          </cell>
          <cell r="M5" t="str">
            <v>US</v>
          </cell>
          <cell r="N5" t="str">
            <v>08518-2802</v>
          </cell>
        </row>
        <row r="6">
          <cell r="A6" t="str">
            <v>ABE8-401</v>
          </cell>
          <cell r="B6" t="str">
            <v>ABE8-401</v>
          </cell>
          <cell r="C6" t="str">
            <v>ABE8-401</v>
          </cell>
          <cell r="D6" t="str">
            <v>ABE8-401</v>
          </cell>
          <cell r="E6" t="str">
            <v>AMAZON</v>
          </cell>
          <cell r="F6" t="str">
            <v>0000000000</v>
          </cell>
        </row>
        <row r="6">
          <cell r="H6" t="str">
            <v>401 Independence Road</v>
          </cell>
        </row>
        <row r="6">
          <cell r="K6" t="str">
            <v>Florence</v>
          </cell>
          <cell r="L6" t="str">
            <v>NJ</v>
          </cell>
          <cell r="M6" t="str">
            <v>US</v>
          </cell>
          <cell r="N6" t="str">
            <v>08518</v>
          </cell>
        </row>
        <row r="7">
          <cell r="A7" t="str">
            <v>ACY1</v>
          </cell>
          <cell r="B7" t="str">
            <v>ACY1</v>
          </cell>
          <cell r="C7" t="str">
            <v>ACY1</v>
          </cell>
          <cell r="D7" t="str">
            <v>ACY1</v>
          </cell>
          <cell r="E7" t="str">
            <v>AMAZON</v>
          </cell>
          <cell r="F7" t="str">
            <v>0000000000</v>
          </cell>
        </row>
        <row r="7">
          <cell r="H7" t="str">
            <v>240 Mantua Grove Road</v>
          </cell>
        </row>
        <row r="7">
          <cell r="K7" t="str">
            <v>West Deptford</v>
          </cell>
          <cell r="L7" t="str">
            <v>NJ</v>
          </cell>
          <cell r="M7" t="str">
            <v>US</v>
          </cell>
          <cell r="N7" t="str">
            <v>08066</v>
          </cell>
        </row>
        <row r="8">
          <cell r="A8" t="str">
            <v>AKC1</v>
          </cell>
          <cell r="B8" t="str">
            <v>AKC1</v>
          </cell>
          <cell r="C8" t="str">
            <v>AKC1</v>
          </cell>
          <cell r="D8" t="str">
            <v>AKC1</v>
          </cell>
          <cell r="E8" t="str">
            <v>AMAZON</v>
          </cell>
          <cell r="F8" t="str">
            <v>0000000000</v>
          </cell>
        </row>
        <row r="8">
          <cell r="H8" t="str">
            <v>2450 ROMIG RD</v>
          </cell>
        </row>
        <row r="8">
          <cell r="K8" t="str">
            <v>AKRON</v>
          </cell>
          <cell r="L8" t="str">
            <v>OH</v>
          </cell>
          <cell r="M8" t="str">
            <v>US</v>
          </cell>
          <cell r="N8" t="str">
            <v>44320-3827</v>
          </cell>
        </row>
        <row r="9">
          <cell r="A9" t="str">
            <v>ATL2</v>
          </cell>
          <cell r="B9" t="str">
            <v>ATL2</v>
          </cell>
          <cell r="C9" t="str">
            <v>ATL2</v>
          </cell>
          <cell r="D9" t="str">
            <v>ATL2</v>
          </cell>
          <cell r="E9" t="str">
            <v>AMAZON</v>
          </cell>
          <cell r="F9" t="str">
            <v>0000000000</v>
          </cell>
        </row>
        <row r="9">
          <cell r="H9" t="str">
            <v>2255 W PARK PLACE BLVD</v>
          </cell>
        </row>
        <row r="9">
          <cell r="K9" t="str">
            <v>STONE MOUNTAIN</v>
          </cell>
          <cell r="L9" t="str">
            <v>GA</v>
          </cell>
          <cell r="M9" t="str">
            <v>US</v>
          </cell>
          <cell r="N9" t="str">
            <v>30087-3506</v>
          </cell>
        </row>
        <row r="10">
          <cell r="A10" t="str">
            <v>ATL6</v>
          </cell>
          <cell r="B10" t="str">
            <v>ATL6</v>
          </cell>
          <cell r="C10" t="str">
            <v>ATL6</v>
          </cell>
          <cell r="D10" t="str">
            <v>ATL6</v>
          </cell>
          <cell r="E10" t="str">
            <v>AMAZON</v>
          </cell>
          <cell r="F10" t="str">
            <v>0000000000</v>
          </cell>
        </row>
        <row r="10">
          <cell r="H10" t="str">
            <v>4200 North Commerce</v>
          </cell>
        </row>
        <row r="10">
          <cell r="K10" t="str">
            <v>East Point</v>
          </cell>
          <cell r="L10" t="str">
            <v>GA</v>
          </cell>
          <cell r="M10" t="str">
            <v>US</v>
          </cell>
          <cell r="N10" t="str">
            <v>30344</v>
          </cell>
        </row>
        <row r="11">
          <cell r="A11" t="str">
            <v>ATL7</v>
          </cell>
          <cell r="B11" t="str">
            <v>ATL7</v>
          </cell>
          <cell r="C11" t="str">
            <v>ATL7</v>
          </cell>
          <cell r="D11" t="str">
            <v>ATL7</v>
          </cell>
          <cell r="E11" t="str">
            <v>AMAZON</v>
          </cell>
          <cell r="F11" t="str">
            <v>0000000000</v>
          </cell>
        </row>
        <row r="11">
          <cell r="H11" t="str">
            <v>6855 Shannon Pkwy S</v>
          </cell>
        </row>
        <row r="11">
          <cell r="K11" t="str">
            <v>UNION CITY</v>
          </cell>
          <cell r="L11" t="str">
            <v>GA</v>
          </cell>
          <cell r="M11" t="str">
            <v>US</v>
          </cell>
          <cell r="N11" t="str">
            <v>30291-2091</v>
          </cell>
        </row>
        <row r="12">
          <cell r="A12" t="str">
            <v>BDL1</v>
          </cell>
          <cell r="B12" t="str">
            <v>BDL1</v>
          </cell>
          <cell r="C12" t="str">
            <v>BDL1</v>
          </cell>
          <cell r="D12" t="str">
            <v>BDL1</v>
          </cell>
          <cell r="E12" t="str">
            <v>AMAZON</v>
          </cell>
          <cell r="F12" t="str">
            <v>0000000000</v>
          </cell>
        </row>
        <row r="12">
          <cell r="H12" t="str">
            <v>801 Day Hill Rd.</v>
          </cell>
        </row>
        <row r="12">
          <cell r="K12" t="str">
            <v>Windsor</v>
          </cell>
          <cell r="L12" t="str">
            <v>CT</v>
          </cell>
          <cell r="M12" t="str">
            <v>US</v>
          </cell>
          <cell r="N12" t="str">
            <v>06095</v>
          </cell>
        </row>
        <row r="13">
          <cell r="A13" t="str">
            <v>BDL2</v>
          </cell>
          <cell r="B13" t="str">
            <v>BDL2</v>
          </cell>
          <cell r="C13" t="str">
            <v>BDL2</v>
          </cell>
          <cell r="D13" t="str">
            <v>BDL2</v>
          </cell>
          <cell r="E13" t="str">
            <v>AMAZON</v>
          </cell>
          <cell r="F13" t="str">
            <v>0000000000</v>
          </cell>
        </row>
        <row r="13">
          <cell r="H13" t="str">
            <v>200 Old Iron Ore Rd</v>
          </cell>
        </row>
        <row r="13">
          <cell r="K13" t="str">
            <v>Windsor</v>
          </cell>
          <cell r="L13" t="str">
            <v>CT</v>
          </cell>
          <cell r="M13" t="str">
            <v>US</v>
          </cell>
          <cell r="N13" t="str">
            <v>06095-2144</v>
          </cell>
        </row>
        <row r="14">
          <cell r="A14" t="str">
            <v>BDL3</v>
          </cell>
          <cell r="B14" t="str">
            <v>BDL3</v>
          </cell>
          <cell r="C14" t="str">
            <v>BDL3</v>
          </cell>
          <cell r="D14" t="str">
            <v>BDL3</v>
          </cell>
          <cell r="E14" t="str">
            <v>AMAZON</v>
          </cell>
          <cell r="F14" t="str">
            <v>0000000000</v>
          </cell>
        </row>
        <row r="14">
          <cell r="H14" t="str">
            <v>409 Washington Avenue</v>
          </cell>
        </row>
        <row r="14">
          <cell r="K14" t="str">
            <v>North Haven</v>
          </cell>
          <cell r="L14" t="str">
            <v>CT</v>
          </cell>
          <cell r="M14" t="str">
            <v>US</v>
          </cell>
          <cell r="N14" t="str">
            <v>06473-1307</v>
          </cell>
        </row>
        <row r="15">
          <cell r="A15" t="str">
            <v>BFI1</v>
          </cell>
          <cell r="B15" t="str">
            <v>BFI1</v>
          </cell>
          <cell r="C15" t="str">
            <v>BFI1</v>
          </cell>
          <cell r="D15" t="str">
            <v>BFI1</v>
          </cell>
          <cell r="E15" t="str">
            <v>AMAZON</v>
          </cell>
          <cell r="F15" t="str">
            <v>0000000000</v>
          </cell>
        </row>
        <row r="15">
          <cell r="H15" t="str">
            <v>1800 140th Avenue E.</v>
          </cell>
        </row>
        <row r="15">
          <cell r="K15" t="str">
            <v>Sumner</v>
          </cell>
          <cell r="L15" t="str">
            <v>WA</v>
          </cell>
          <cell r="M15" t="str">
            <v>US</v>
          </cell>
          <cell r="N15" t="str">
            <v>98390</v>
          </cell>
        </row>
        <row r="16">
          <cell r="A16" t="str">
            <v>BFI3</v>
          </cell>
          <cell r="B16" t="str">
            <v>BFI3</v>
          </cell>
          <cell r="C16" t="str">
            <v>BFI3</v>
          </cell>
          <cell r="D16" t="str">
            <v>BFI3</v>
          </cell>
          <cell r="E16" t="str">
            <v>AMAZON</v>
          </cell>
          <cell r="F16" t="str">
            <v>0000000000</v>
          </cell>
        </row>
        <row r="16">
          <cell r="H16" t="str">
            <v>2700 Center Drive</v>
          </cell>
        </row>
        <row r="16">
          <cell r="K16" t="str">
            <v>Dupont</v>
          </cell>
          <cell r="L16" t="str">
            <v>WA</v>
          </cell>
          <cell r="M16" t="str">
            <v>US</v>
          </cell>
          <cell r="N16" t="str">
            <v>98327-9607</v>
          </cell>
        </row>
        <row r="17">
          <cell r="A17" t="str">
            <v>BFI4</v>
          </cell>
          <cell r="B17" t="str">
            <v>BFI4</v>
          </cell>
          <cell r="C17" t="str">
            <v>BFI4</v>
          </cell>
          <cell r="D17" t="str">
            <v>BFI4</v>
          </cell>
          <cell r="E17" t="str">
            <v>AMAZON</v>
          </cell>
          <cell r="F17" t="str">
            <v>0000000000</v>
          </cell>
        </row>
        <row r="17">
          <cell r="H17" t="str">
            <v>20529 59th Place South</v>
          </cell>
        </row>
        <row r="17">
          <cell r="K17" t="str">
            <v>Kent</v>
          </cell>
          <cell r="L17" t="str">
            <v>WA</v>
          </cell>
          <cell r="M17" t="str">
            <v>US</v>
          </cell>
          <cell r="N17" t="str">
            <v>98032</v>
          </cell>
        </row>
        <row r="18">
          <cell r="A18" t="str">
            <v>BFI5</v>
          </cell>
          <cell r="B18" t="str">
            <v>BFI5</v>
          </cell>
          <cell r="C18" t="str">
            <v>BFI5</v>
          </cell>
          <cell r="D18" t="str">
            <v>BFI5</v>
          </cell>
          <cell r="E18" t="str">
            <v>AMAZON</v>
          </cell>
          <cell r="F18" t="str">
            <v>0000000000</v>
          </cell>
        </row>
        <row r="18">
          <cell r="H18" t="str">
            <v>20526 59th Place South</v>
          </cell>
        </row>
        <row r="18">
          <cell r="K18" t="str">
            <v>Kent</v>
          </cell>
          <cell r="L18" t="str">
            <v>WA</v>
          </cell>
          <cell r="M18" t="str">
            <v>US</v>
          </cell>
          <cell r="N18" t="str">
            <v>98032</v>
          </cell>
        </row>
        <row r="19">
          <cell r="A19" t="str">
            <v>BFI7</v>
          </cell>
          <cell r="B19" t="str">
            <v>BFI7</v>
          </cell>
          <cell r="C19" t="str">
            <v>BFI7</v>
          </cell>
          <cell r="D19" t="str">
            <v>BFI7</v>
          </cell>
          <cell r="E19" t="str">
            <v>AMAZON</v>
          </cell>
          <cell r="F19" t="str">
            <v>0000000000</v>
          </cell>
        </row>
        <row r="19">
          <cell r="H19" t="str">
            <v>1901 140th Ave E</v>
          </cell>
        </row>
        <row r="19">
          <cell r="K19" t="str">
            <v>Sumner</v>
          </cell>
          <cell r="L19" t="str">
            <v>WA</v>
          </cell>
          <cell r="M19" t="str">
            <v>US</v>
          </cell>
          <cell r="N19" t="str">
            <v>98390</v>
          </cell>
        </row>
        <row r="20">
          <cell r="A20" t="str">
            <v>BFL1</v>
          </cell>
          <cell r="B20" t="str">
            <v>BFL1</v>
          </cell>
          <cell r="C20" t="str">
            <v>BFL1</v>
          </cell>
          <cell r="D20" t="str">
            <v>BFL1</v>
          </cell>
          <cell r="E20" t="str">
            <v>AMAZON</v>
          </cell>
          <cell r="F20" t="str">
            <v>0000000000</v>
          </cell>
        </row>
        <row r="20">
          <cell r="H20" t="str">
            <v>1601 Petrol Road</v>
          </cell>
        </row>
        <row r="20">
          <cell r="K20" t="str">
            <v>BAKERSFIELD</v>
          </cell>
          <cell r="L20" t="str">
            <v>CA</v>
          </cell>
          <cell r="M20" t="str">
            <v>US</v>
          </cell>
          <cell r="N20" t="str">
            <v>93308-9755</v>
          </cell>
        </row>
        <row r="21">
          <cell r="A21" t="str">
            <v>BHM1</v>
          </cell>
          <cell r="B21" t="str">
            <v>BHM1</v>
          </cell>
          <cell r="C21" t="str">
            <v>BHM1</v>
          </cell>
          <cell r="D21" t="str">
            <v>BHM1</v>
          </cell>
          <cell r="E21" t="str">
            <v>AMAZON</v>
          </cell>
          <cell r="F21" t="str">
            <v>0000000000</v>
          </cell>
        </row>
        <row r="21">
          <cell r="H21" t="str">
            <v>975 Powder Plant Rd</v>
          </cell>
        </row>
        <row r="21">
          <cell r="K21" t="str">
            <v>BESSEMER</v>
          </cell>
          <cell r="L21" t="str">
            <v>AL</v>
          </cell>
          <cell r="M21" t="str">
            <v>US</v>
          </cell>
          <cell r="N21" t="str">
            <v>35022-5497</v>
          </cell>
        </row>
        <row r="22">
          <cell r="A22" t="str">
            <v>BNA1</v>
          </cell>
          <cell r="B22" t="str">
            <v>BNA1</v>
          </cell>
          <cell r="C22" t="str">
            <v>BNA1</v>
          </cell>
          <cell r="D22" t="str">
            <v>BNA1</v>
          </cell>
          <cell r="E22" t="str">
            <v>AMAZON</v>
          </cell>
          <cell r="F22" t="str">
            <v>0000000000</v>
          </cell>
        </row>
        <row r="22">
          <cell r="H22" t="str">
            <v>14840 Central Pike Suite 190</v>
          </cell>
        </row>
        <row r="22">
          <cell r="K22" t="str">
            <v>Lebanon</v>
          </cell>
          <cell r="L22" t="str">
            <v>TN</v>
          </cell>
          <cell r="M22" t="str">
            <v>US</v>
          </cell>
          <cell r="N22" t="str">
            <v>37090</v>
          </cell>
        </row>
        <row r="23">
          <cell r="A23" t="str">
            <v>BNA3</v>
          </cell>
          <cell r="B23" t="str">
            <v>BNA3</v>
          </cell>
          <cell r="C23" t="str">
            <v>BNA3</v>
          </cell>
          <cell r="D23" t="str">
            <v>BNA3</v>
          </cell>
          <cell r="E23" t="str">
            <v>AMAZON</v>
          </cell>
          <cell r="F23" t="str">
            <v>0000000000</v>
          </cell>
        </row>
        <row r="23">
          <cell r="H23" t="str">
            <v>2020 Joe B Jackson Pkwy</v>
          </cell>
        </row>
        <row r="23">
          <cell r="K23" t="str">
            <v>Murfreesboro</v>
          </cell>
          <cell r="L23" t="str">
            <v>TN</v>
          </cell>
          <cell r="M23" t="str">
            <v>US</v>
          </cell>
          <cell r="N23" t="str">
            <v>37127</v>
          </cell>
        </row>
        <row r="24">
          <cell r="A24" t="str">
            <v>BNA4</v>
          </cell>
          <cell r="B24" t="str">
            <v>BNA4</v>
          </cell>
          <cell r="C24" t="str">
            <v>BNA4</v>
          </cell>
          <cell r="D24" t="str">
            <v>BNA4</v>
          </cell>
          <cell r="E24" t="str">
            <v>AMAZON</v>
          </cell>
          <cell r="F24" t="str">
            <v>0000000000</v>
          </cell>
        </row>
        <row r="24">
          <cell r="H24" t="str">
            <v>50 airways Blvd</v>
          </cell>
        </row>
        <row r="24">
          <cell r="K24" t="str">
            <v>Nashville</v>
          </cell>
          <cell r="L24" t="str">
            <v>TN</v>
          </cell>
          <cell r="M24" t="str">
            <v>US</v>
          </cell>
          <cell r="N24" t="str">
            <v>37217</v>
          </cell>
        </row>
        <row r="25">
          <cell r="A25" t="str">
            <v>BOI2</v>
          </cell>
          <cell r="B25" t="str">
            <v>BOI2</v>
          </cell>
          <cell r="C25" t="str">
            <v>BOI2</v>
          </cell>
          <cell r="D25" t="str">
            <v>BOI2</v>
          </cell>
          <cell r="E25" t="str">
            <v>AMAZON</v>
          </cell>
          <cell r="F25" t="str">
            <v>0000000000</v>
          </cell>
        </row>
        <row r="25">
          <cell r="H25" t="str">
            <v>5295 E Franklin Rd Suite N057</v>
          </cell>
        </row>
        <row r="25">
          <cell r="K25" t="str">
            <v>Nampa</v>
          </cell>
          <cell r="L25" t="str">
            <v>ID</v>
          </cell>
          <cell r="M25" t="str">
            <v>US</v>
          </cell>
          <cell r="N25" t="str">
            <v>83687</v>
          </cell>
        </row>
        <row r="26">
          <cell r="A26" t="str">
            <v>BOS1</v>
          </cell>
          <cell r="B26" t="str">
            <v>BOS1</v>
          </cell>
          <cell r="C26" t="str">
            <v>BOS1</v>
          </cell>
          <cell r="D26" t="str">
            <v>BOS1</v>
          </cell>
          <cell r="E26" t="str">
            <v>AMAZON</v>
          </cell>
          <cell r="F26" t="str">
            <v>0000000000</v>
          </cell>
        </row>
        <row r="26">
          <cell r="H26" t="str">
            <v>10 State St.</v>
          </cell>
        </row>
        <row r="26">
          <cell r="K26" t="str">
            <v>Nashua</v>
          </cell>
          <cell r="L26" t="str">
            <v>NH</v>
          </cell>
          <cell r="M26" t="str">
            <v>US</v>
          </cell>
          <cell r="N26" t="str">
            <v>03063</v>
          </cell>
        </row>
        <row r="27">
          <cell r="A27" t="str">
            <v>BOS2</v>
          </cell>
          <cell r="B27" t="str">
            <v>BOS2</v>
          </cell>
          <cell r="C27" t="str">
            <v>BOS2</v>
          </cell>
          <cell r="D27" t="str">
            <v>BOS2</v>
          </cell>
          <cell r="E27" t="str">
            <v>AMAZON</v>
          </cell>
          <cell r="F27" t="str">
            <v>0000000000</v>
          </cell>
        </row>
        <row r="27">
          <cell r="H27" t="str">
            <v>1000 Tech Centre</v>
          </cell>
        </row>
        <row r="27">
          <cell r="K27" t="str">
            <v>Drive Stoughton</v>
          </cell>
          <cell r="L27" t="str">
            <v>MA</v>
          </cell>
          <cell r="M27" t="str">
            <v>US</v>
          </cell>
          <cell r="N27" t="str">
            <v>02072</v>
          </cell>
        </row>
        <row r="28">
          <cell r="A28" t="str">
            <v>BOS5</v>
          </cell>
          <cell r="B28" t="str">
            <v>BOS5</v>
          </cell>
          <cell r="C28" t="str">
            <v>BOS5</v>
          </cell>
          <cell r="D28" t="str">
            <v>BOS5</v>
          </cell>
          <cell r="E28" t="str">
            <v>AMAZON</v>
          </cell>
          <cell r="F28" t="str">
            <v>0000000000</v>
          </cell>
        </row>
        <row r="28">
          <cell r="H28" t="str">
            <v>1000 Technology Center Dr</v>
          </cell>
        </row>
        <row r="28">
          <cell r="K28" t="str">
            <v>Stoughton</v>
          </cell>
          <cell r="L28" t="str">
            <v>MA</v>
          </cell>
          <cell r="M28" t="str">
            <v>US</v>
          </cell>
          <cell r="N28" t="str">
            <v>02072</v>
          </cell>
        </row>
        <row r="29">
          <cell r="A29" t="str">
            <v>CLT4</v>
          </cell>
          <cell r="B29" t="str">
            <v>CLT4</v>
          </cell>
          <cell r="C29" t="str">
            <v>CLT4</v>
          </cell>
          <cell r="D29" t="str">
            <v>CLT4</v>
          </cell>
          <cell r="E29" t="str">
            <v>AMAZON</v>
          </cell>
          <cell r="F29" t="str">
            <v>0000000000</v>
          </cell>
        </row>
        <row r="29">
          <cell r="H29" t="str">
            <v>8000 TUCKASEEGEE RD</v>
          </cell>
        </row>
        <row r="29">
          <cell r="K29" t="str">
            <v>CHARLOTTE</v>
          </cell>
          <cell r="L29" t="str">
            <v>NC</v>
          </cell>
          <cell r="M29" t="str">
            <v>US</v>
          </cell>
          <cell r="N29" t="str">
            <v>28214-2633</v>
          </cell>
        </row>
        <row r="30">
          <cell r="A30" t="str">
            <v>CMH1-11999</v>
          </cell>
          <cell r="B30" t="str">
            <v>CMH1-11999</v>
          </cell>
          <cell r="C30" t="str">
            <v>CMH1-11999</v>
          </cell>
          <cell r="D30" t="str">
            <v>CMH1-11999</v>
          </cell>
          <cell r="E30" t="str">
            <v>AMAZON</v>
          </cell>
          <cell r="F30" t="str">
            <v>0000000000</v>
          </cell>
        </row>
        <row r="30">
          <cell r="H30" t="str">
            <v>11999 National Road SW</v>
          </cell>
        </row>
        <row r="30">
          <cell r="K30" t="str">
            <v>Etna</v>
          </cell>
          <cell r="L30" t="str">
            <v>OH</v>
          </cell>
          <cell r="M30" t="str">
            <v>US</v>
          </cell>
          <cell r="N30" t="str">
            <v>43062-7793</v>
          </cell>
        </row>
        <row r="31">
          <cell r="A31" t="str">
            <v>BWI1</v>
          </cell>
          <cell r="B31" t="str">
            <v>BWI1</v>
          </cell>
          <cell r="C31" t="str">
            <v>BWI1</v>
          </cell>
          <cell r="D31" t="str">
            <v>BWI1</v>
          </cell>
          <cell r="E31" t="str">
            <v>AMAZON</v>
          </cell>
          <cell r="F31" t="str">
            <v>0000000000</v>
          </cell>
        </row>
        <row r="31">
          <cell r="H31" t="str">
            <v>45121 Global Plaza</v>
          </cell>
        </row>
        <row r="31">
          <cell r="K31" t="str">
            <v>Sterling</v>
          </cell>
          <cell r="L31" t="str">
            <v>MD</v>
          </cell>
          <cell r="M31" t="str">
            <v>US</v>
          </cell>
          <cell r="N31" t="str">
            <v>20166-2058</v>
          </cell>
        </row>
        <row r="32">
          <cell r="A32" t="str">
            <v>BWI2</v>
          </cell>
          <cell r="B32" t="str">
            <v>BWI2</v>
          </cell>
          <cell r="C32" t="str">
            <v>BWI2</v>
          </cell>
          <cell r="D32" t="str">
            <v>BWI2</v>
          </cell>
          <cell r="E32" t="str">
            <v>AMAZON</v>
          </cell>
          <cell r="F32" t="str">
            <v>0000000000</v>
          </cell>
        </row>
        <row r="32">
          <cell r="H32" t="str">
            <v>2010 Broening Hwy</v>
          </cell>
        </row>
        <row r="32">
          <cell r="K32" t="str">
            <v>Baltimore</v>
          </cell>
          <cell r="L32" t="str">
            <v>MD</v>
          </cell>
          <cell r="M32" t="str">
            <v>US</v>
          </cell>
          <cell r="N32" t="str">
            <v>21224-6027</v>
          </cell>
        </row>
        <row r="33">
          <cell r="A33" t="str">
            <v>CMH4</v>
          </cell>
          <cell r="B33" t="str">
            <v>CMH4</v>
          </cell>
          <cell r="C33" t="str">
            <v>CMH4</v>
          </cell>
          <cell r="D33" t="str">
            <v>CMH4</v>
          </cell>
          <cell r="E33" t="str">
            <v>AMAZON</v>
          </cell>
          <cell r="F33" t="str">
            <v>0000000000</v>
          </cell>
        </row>
        <row r="33">
          <cell r="H33" t="str">
            <v>1550 W. Main Street</v>
          </cell>
        </row>
        <row r="33">
          <cell r="K33" t="str">
            <v>WEST JEFFERSON</v>
          </cell>
          <cell r="L33" t="str">
            <v>OH</v>
          </cell>
          <cell r="M33" t="str">
            <v>US</v>
          </cell>
          <cell r="N33" t="str">
            <v>43162-9747</v>
          </cell>
        </row>
        <row r="34">
          <cell r="A34" t="str">
            <v>CAE1</v>
          </cell>
          <cell r="B34" t="str">
            <v>CAE1</v>
          </cell>
          <cell r="C34" t="str">
            <v>CAE1</v>
          </cell>
          <cell r="D34" t="str">
            <v>CAE1</v>
          </cell>
          <cell r="E34" t="str">
            <v>AMAZON</v>
          </cell>
          <cell r="F34" t="str">
            <v>0000000000</v>
          </cell>
        </row>
        <row r="34">
          <cell r="H34" t="str">
            <v>4400 12 Street Extension</v>
          </cell>
        </row>
        <row r="34">
          <cell r="K34" t="str">
            <v>West Columbia</v>
          </cell>
          <cell r="L34" t="str">
            <v>SC</v>
          </cell>
          <cell r="M34" t="str">
            <v>US</v>
          </cell>
          <cell r="N34" t="str">
            <v>29172</v>
          </cell>
        </row>
        <row r="35">
          <cell r="A35" t="str">
            <v>CHA1</v>
          </cell>
          <cell r="B35" t="str">
            <v>CHA1</v>
          </cell>
          <cell r="C35" t="str">
            <v>CHA1</v>
          </cell>
          <cell r="D35" t="str">
            <v>CHA1</v>
          </cell>
          <cell r="E35" t="str">
            <v>AMAZON</v>
          </cell>
          <cell r="F35" t="str">
            <v>0000000000</v>
          </cell>
        </row>
        <row r="35">
          <cell r="H35" t="str">
            <v>7200 Discovery Drive</v>
          </cell>
        </row>
        <row r="35">
          <cell r="K35" t="str">
            <v>Chattanooga</v>
          </cell>
          <cell r="L35" t="str">
            <v>TN</v>
          </cell>
          <cell r="M35" t="str">
            <v>US</v>
          </cell>
          <cell r="N35" t="str">
            <v>37416-1757</v>
          </cell>
        </row>
        <row r="36">
          <cell r="A36" t="str">
            <v>CLE2</v>
          </cell>
          <cell r="B36" t="str">
            <v>CLE2</v>
          </cell>
          <cell r="C36" t="str">
            <v>CLE2</v>
          </cell>
          <cell r="D36" t="str">
            <v>CLE2</v>
          </cell>
          <cell r="E36" t="str">
            <v>AMAZON</v>
          </cell>
          <cell r="F36" t="str">
            <v>0000000000</v>
          </cell>
        </row>
        <row r="36">
          <cell r="H36" t="str">
            <v>21500 Emery Rd</v>
          </cell>
        </row>
        <row r="36">
          <cell r="K36" t="str">
            <v>North Randall</v>
          </cell>
          <cell r="L36" t="str">
            <v>OH</v>
          </cell>
          <cell r="M36" t="str">
            <v>US</v>
          </cell>
          <cell r="N36" t="str">
            <v>44128</v>
          </cell>
        </row>
        <row r="37">
          <cell r="A37" t="str">
            <v>CSG1</v>
          </cell>
          <cell r="B37" t="str">
            <v>CSG1</v>
          </cell>
          <cell r="C37" t="str">
            <v>CSG1</v>
          </cell>
          <cell r="D37" t="str">
            <v>CSG1</v>
          </cell>
          <cell r="E37" t="str">
            <v>AMAZON</v>
          </cell>
          <cell r="F37" t="str">
            <v>0000000000</v>
          </cell>
        </row>
        <row r="37">
          <cell r="H37" t="str">
            <v>280 BRIDGEPORT BLVD</v>
          </cell>
        </row>
        <row r="37">
          <cell r="K37" t="str">
            <v>Moreland</v>
          </cell>
          <cell r="L37" t="str">
            <v>GA</v>
          </cell>
          <cell r="M37" t="str">
            <v>US</v>
          </cell>
          <cell r="N37" t="str">
            <v>30259-2867</v>
          </cell>
        </row>
        <row r="38">
          <cell r="A38" t="str">
            <v>CVG2</v>
          </cell>
          <cell r="B38" t="str">
            <v>CVG2</v>
          </cell>
          <cell r="C38" t="str">
            <v>CVG2</v>
          </cell>
          <cell r="D38" t="str">
            <v>CVG2</v>
          </cell>
          <cell r="E38" t="str">
            <v>AMAZON</v>
          </cell>
          <cell r="F38" t="str">
            <v>0000000000</v>
          </cell>
        </row>
        <row r="38">
          <cell r="H38" t="str">
            <v>1600 Worldwide Blvd</v>
          </cell>
        </row>
        <row r="38">
          <cell r="K38" t="str">
            <v>Hebron</v>
          </cell>
          <cell r="L38" t="str">
            <v>KY</v>
          </cell>
          <cell r="M38" t="str">
            <v>US</v>
          </cell>
          <cell r="N38" t="str">
            <v>41048</v>
          </cell>
        </row>
        <row r="39">
          <cell r="A39" t="str">
            <v>CVG3</v>
          </cell>
          <cell r="B39" t="str">
            <v>CVG3</v>
          </cell>
          <cell r="C39" t="str">
            <v>CVG3</v>
          </cell>
          <cell r="D39" t="str">
            <v>CVG3</v>
          </cell>
          <cell r="E39" t="str">
            <v>AMAZON</v>
          </cell>
          <cell r="F39" t="str">
            <v>0000000000</v>
          </cell>
        </row>
        <row r="39">
          <cell r="H39" t="str">
            <v>3680 Langley Dr.</v>
          </cell>
        </row>
        <row r="39">
          <cell r="K39" t="str">
            <v>Hebron</v>
          </cell>
          <cell r="L39" t="str">
            <v>KY</v>
          </cell>
          <cell r="M39" t="str">
            <v>US</v>
          </cell>
          <cell r="N39" t="str">
            <v>41048</v>
          </cell>
        </row>
        <row r="40">
          <cell r="A40" t="str">
            <v>CVG5</v>
          </cell>
          <cell r="B40" t="str">
            <v>CVG5</v>
          </cell>
          <cell r="C40" t="str">
            <v>CVG5</v>
          </cell>
          <cell r="D40" t="str">
            <v>CVG5</v>
          </cell>
          <cell r="E40" t="str">
            <v>AMAZON</v>
          </cell>
          <cell r="F40" t="str">
            <v>0000000000</v>
          </cell>
        </row>
        <row r="40">
          <cell r="H40" t="str">
            <v>2285 Litton Lane</v>
          </cell>
        </row>
        <row r="40">
          <cell r="K40" t="str">
            <v>Hebron</v>
          </cell>
          <cell r="L40" t="str">
            <v>KY</v>
          </cell>
          <cell r="M40" t="str">
            <v>US</v>
          </cell>
          <cell r="N40" t="str">
            <v>41048</v>
          </cell>
        </row>
        <row r="41">
          <cell r="A41" t="str">
            <v>DAL2</v>
          </cell>
          <cell r="B41" t="str">
            <v>DAL2</v>
          </cell>
          <cell r="C41" t="str">
            <v>DAL2</v>
          </cell>
          <cell r="D41" t="str">
            <v>DAL2</v>
          </cell>
          <cell r="E41" t="str">
            <v>AMAZON</v>
          </cell>
          <cell r="F41" t="str">
            <v>0000000000</v>
          </cell>
        </row>
        <row r="41">
          <cell r="H41" t="str">
            <v>2601 S. Airfield Drive</v>
          </cell>
        </row>
        <row r="41">
          <cell r="K41" t="str">
            <v>DFW Airport</v>
          </cell>
          <cell r="L41" t="str">
            <v>TX</v>
          </cell>
          <cell r="M41" t="str">
            <v>US</v>
          </cell>
          <cell r="N41" t="str">
            <v>75261</v>
          </cell>
        </row>
        <row r="42">
          <cell r="A42" t="str">
            <v>DCA1</v>
          </cell>
          <cell r="B42" t="str">
            <v>DCA1</v>
          </cell>
          <cell r="C42" t="str">
            <v>DCA1</v>
          </cell>
          <cell r="D42" t="str">
            <v>DCA1</v>
          </cell>
          <cell r="E42" t="str">
            <v>AMAZON</v>
          </cell>
          <cell r="F42" t="str">
            <v>0000000000</v>
          </cell>
        </row>
        <row r="42">
          <cell r="H42" t="str">
            <v>1700 Sparrows Point Boulevard</v>
          </cell>
        </row>
        <row r="42">
          <cell r="K42" t="str">
            <v>Sparrows Point</v>
          </cell>
          <cell r="L42" t="str">
            <v>MD</v>
          </cell>
          <cell r="M42" t="str">
            <v>US</v>
          </cell>
          <cell r="N42" t="str">
            <v>21219</v>
          </cell>
        </row>
        <row r="43">
          <cell r="A43" t="str">
            <v>DDT1</v>
          </cell>
          <cell r="B43" t="str">
            <v>DDT1</v>
          </cell>
          <cell r="C43" t="str">
            <v>DDT1</v>
          </cell>
          <cell r="D43" t="str">
            <v>DDT1</v>
          </cell>
          <cell r="E43" t="str">
            <v>AMAZON</v>
          </cell>
          <cell r="F43" t="str">
            <v>0000000000</v>
          </cell>
        </row>
        <row r="43">
          <cell r="H43" t="str">
            <v>1400 E 10 MILE RD</v>
          </cell>
        </row>
        <row r="43">
          <cell r="K43" t="str">
            <v>HAZEL PARK</v>
          </cell>
          <cell r="L43" t="str">
            <v>MI</v>
          </cell>
          <cell r="M43" t="str">
            <v>US</v>
          </cell>
          <cell r="N43" t="str">
            <v>48030-1263</v>
          </cell>
        </row>
        <row r="44">
          <cell r="A44" t="str">
            <v>DEN3</v>
          </cell>
          <cell r="B44" t="str">
            <v>DEN3</v>
          </cell>
          <cell r="C44" t="str">
            <v>DEN3</v>
          </cell>
          <cell r="D44" t="str">
            <v>DEN3</v>
          </cell>
          <cell r="E44" t="str">
            <v>AMAZON</v>
          </cell>
          <cell r="F44" t="str">
            <v>0000000000</v>
          </cell>
        </row>
        <row r="44">
          <cell r="H44" t="str">
            <v>14601 Grant Street</v>
          </cell>
        </row>
        <row r="44">
          <cell r="K44" t="str">
            <v>Thornton</v>
          </cell>
          <cell r="L44" t="str">
            <v>CO</v>
          </cell>
          <cell r="M44" t="str">
            <v>US</v>
          </cell>
          <cell r="N44" t="str">
            <v>80023</v>
          </cell>
        </row>
        <row r="45">
          <cell r="A45" t="str">
            <v>DFW1</v>
          </cell>
          <cell r="B45" t="str">
            <v>DFW1</v>
          </cell>
          <cell r="C45" t="str">
            <v>DFW1</v>
          </cell>
          <cell r="D45" t="str">
            <v>DFW1</v>
          </cell>
          <cell r="E45" t="str">
            <v>AMAZON</v>
          </cell>
          <cell r="F45" t="str">
            <v>0000000000</v>
          </cell>
        </row>
        <row r="45">
          <cell r="H45" t="str">
            <v>2700 Regent Blvd</v>
          </cell>
        </row>
        <row r="45">
          <cell r="K45" t="str">
            <v>Irving</v>
          </cell>
          <cell r="L45" t="str">
            <v>TX</v>
          </cell>
          <cell r="M45" t="str">
            <v>US</v>
          </cell>
          <cell r="N45" t="str">
            <v>75063</v>
          </cell>
        </row>
        <row r="46">
          <cell r="A46" t="str">
            <v>DFW8</v>
          </cell>
          <cell r="B46" t="str">
            <v>DFW8</v>
          </cell>
          <cell r="C46" t="str">
            <v>DFW8</v>
          </cell>
          <cell r="D46" t="str">
            <v>DFW8</v>
          </cell>
          <cell r="E46" t="str">
            <v>AMAZON</v>
          </cell>
          <cell r="F46" t="str">
            <v>0000000000</v>
          </cell>
        </row>
        <row r="46">
          <cell r="H46" t="str">
            <v>2700 Regent Blvd</v>
          </cell>
        </row>
        <row r="46">
          <cell r="K46" t="str">
            <v>DFW Airport</v>
          </cell>
          <cell r="L46" t="str">
            <v>TX</v>
          </cell>
          <cell r="M46" t="str">
            <v>US</v>
          </cell>
          <cell r="N46" t="str">
            <v>75261</v>
          </cell>
        </row>
        <row r="47">
          <cell r="A47" t="str">
            <v>DS01</v>
          </cell>
          <cell r="B47" t="str">
            <v>DS01</v>
          </cell>
          <cell r="C47" t="str">
            <v>DS01</v>
          </cell>
          <cell r="D47" t="str">
            <v>DS01</v>
          </cell>
          <cell r="E47" t="str">
            <v>AMAZON</v>
          </cell>
          <cell r="F47" t="str">
            <v>0000000000</v>
          </cell>
        </row>
        <row r="47">
          <cell r="H47" t="str">
            <v>4792 Gregg Rd</v>
          </cell>
        </row>
        <row r="47">
          <cell r="K47" t="str">
            <v>Pico Rivera</v>
          </cell>
          <cell r="L47" t="str">
            <v>CA</v>
          </cell>
          <cell r="M47" t="str">
            <v>US</v>
          </cell>
          <cell r="N47" t="str">
            <v>90660</v>
          </cell>
        </row>
        <row r="48">
          <cell r="A48" t="str">
            <v>DSM5</v>
          </cell>
          <cell r="B48" t="str">
            <v>DSM5</v>
          </cell>
          <cell r="C48" t="str">
            <v>DSM5</v>
          </cell>
          <cell r="D48" t="str">
            <v>DSM5</v>
          </cell>
          <cell r="E48" t="str">
            <v>AMAZON</v>
          </cell>
          <cell r="F48" t="str">
            <v>0000000000</v>
          </cell>
        </row>
        <row r="48">
          <cell r="H48" t="str">
            <v>500 32nd St SW</v>
          </cell>
        </row>
        <row r="48">
          <cell r="K48" t="str">
            <v>Altoona</v>
          </cell>
          <cell r="L48" t="str">
            <v>IA</v>
          </cell>
          <cell r="M48" t="str">
            <v>US</v>
          </cell>
          <cell r="N48" t="str">
            <v>50009</v>
          </cell>
        </row>
        <row r="49">
          <cell r="A49" t="str">
            <v>DTW1</v>
          </cell>
          <cell r="B49" t="str">
            <v>DTW1</v>
          </cell>
          <cell r="C49" t="str">
            <v>DTW1</v>
          </cell>
          <cell r="D49" t="str">
            <v>DTW1</v>
          </cell>
          <cell r="E49" t="str">
            <v>AMAZON</v>
          </cell>
          <cell r="F49" t="str">
            <v>0000000000</v>
          </cell>
        </row>
        <row r="49">
          <cell r="H49" t="str">
            <v>32801 Ecorse Road</v>
          </cell>
        </row>
        <row r="49">
          <cell r="K49" t="str">
            <v>Romulus</v>
          </cell>
          <cell r="L49" t="str">
            <v>MI</v>
          </cell>
          <cell r="M49" t="str">
            <v>US</v>
          </cell>
          <cell r="N49" t="str">
            <v>48174</v>
          </cell>
        </row>
        <row r="50">
          <cell r="A50" t="str">
            <v>EL96</v>
          </cell>
          <cell r="B50" t="str">
            <v>EL96</v>
          </cell>
          <cell r="C50" t="str">
            <v>EL96</v>
          </cell>
          <cell r="D50" t="str">
            <v>EL96</v>
          </cell>
          <cell r="E50" t="str">
            <v>AMAZON</v>
          </cell>
          <cell r="F50" t="str">
            <v>0000000000</v>
          </cell>
        </row>
        <row r="50">
          <cell r="H50" t="str">
            <v>10 sigle lane, unit b</v>
          </cell>
        </row>
        <row r="50">
          <cell r="K50" t="str">
            <v>Dayton</v>
          </cell>
          <cell r="L50" t="str">
            <v>NJ</v>
          </cell>
          <cell r="M50" t="str">
            <v>US</v>
          </cell>
          <cell r="N50" t="str">
            <v>08810</v>
          </cell>
        </row>
        <row r="51">
          <cell r="A51" t="str">
            <v>EWR4</v>
          </cell>
          <cell r="B51" t="str">
            <v>EWR4</v>
          </cell>
          <cell r="C51" t="str">
            <v>EWR4</v>
          </cell>
          <cell r="D51" t="str">
            <v>EWR4</v>
          </cell>
          <cell r="E51" t="str">
            <v>AMAZON</v>
          </cell>
          <cell r="F51" t="str">
            <v>0000000000</v>
          </cell>
        </row>
        <row r="51">
          <cell r="H51" t="str">
            <v>50 New Canton Way</v>
          </cell>
        </row>
        <row r="51">
          <cell r="K51" t="str">
            <v>Robbinsville</v>
          </cell>
          <cell r="L51" t="str">
            <v>NJ</v>
          </cell>
          <cell r="M51" t="str">
            <v>US</v>
          </cell>
          <cell r="N51" t="str">
            <v>08691-2350</v>
          </cell>
        </row>
        <row r="52">
          <cell r="A52" t="str">
            <v>EWR5</v>
          </cell>
          <cell r="B52" t="str">
            <v>EWR5</v>
          </cell>
          <cell r="C52" t="str">
            <v>EWR5</v>
          </cell>
          <cell r="D52" t="str">
            <v>EWR5</v>
          </cell>
          <cell r="E52" t="str">
            <v>AMAZON</v>
          </cell>
          <cell r="F52" t="str">
            <v>0000000000</v>
          </cell>
        </row>
        <row r="52">
          <cell r="H52" t="str">
            <v>301 Blair Rd.</v>
          </cell>
        </row>
        <row r="52">
          <cell r="K52" t="str">
            <v>Avenel</v>
          </cell>
          <cell r="L52" t="str">
            <v>NJ</v>
          </cell>
          <cell r="M52" t="str">
            <v>US</v>
          </cell>
          <cell r="N52" t="str">
            <v>07001</v>
          </cell>
        </row>
        <row r="53">
          <cell r="A53" t="str">
            <v>EWR7</v>
          </cell>
          <cell r="B53" t="str">
            <v>EWR7</v>
          </cell>
          <cell r="C53" t="str">
            <v>EWR7</v>
          </cell>
          <cell r="D53" t="str">
            <v>EWR7</v>
          </cell>
          <cell r="E53" t="str">
            <v>AMAZON</v>
          </cell>
          <cell r="F53" t="str">
            <v>0000000000</v>
          </cell>
        </row>
        <row r="53">
          <cell r="H53" t="str">
            <v>301 Blair Rd.</v>
          </cell>
        </row>
        <row r="53">
          <cell r="K53" t="str">
            <v>Avenel</v>
          </cell>
          <cell r="L53" t="str">
            <v>NJ</v>
          </cell>
          <cell r="M53" t="str">
            <v>US</v>
          </cell>
          <cell r="N53" t="str">
            <v>07001</v>
          </cell>
        </row>
        <row r="54">
          <cell r="A54" t="str">
            <v>EWR9</v>
          </cell>
          <cell r="B54" t="str">
            <v>EWR9</v>
          </cell>
          <cell r="C54" t="str">
            <v>EWR9</v>
          </cell>
          <cell r="D54" t="str">
            <v>EWR9</v>
          </cell>
          <cell r="E54" t="str">
            <v>AMAZON</v>
          </cell>
          <cell r="F54" t="str">
            <v>0000000000</v>
          </cell>
        </row>
        <row r="54">
          <cell r="H54" t="str">
            <v>8003 Industrial Parkway</v>
          </cell>
        </row>
        <row r="54">
          <cell r="K54" t="str">
            <v>Carteret</v>
          </cell>
          <cell r="L54" t="str">
            <v>NJ</v>
          </cell>
          <cell r="M54" t="str">
            <v>US</v>
          </cell>
          <cell r="N54" t="str">
            <v>07008-3529</v>
          </cell>
        </row>
        <row r="55">
          <cell r="A55" t="str">
            <v>FTW6</v>
          </cell>
          <cell r="B55" t="str">
            <v>FTW6</v>
          </cell>
          <cell r="C55" t="str">
            <v>FTW6</v>
          </cell>
          <cell r="D55" t="str">
            <v>FTW6</v>
          </cell>
          <cell r="E55" t="str">
            <v>AMAZON</v>
          </cell>
          <cell r="F55" t="str">
            <v>0000000000</v>
          </cell>
        </row>
        <row r="55">
          <cell r="H55" t="str">
            <v>2601 W Bethel Road</v>
          </cell>
        </row>
        <row r="55">
          <cell r="K55" t="str">
            <v>Dallas</v>
          </cell>
          <cell r="L55" t="str">
            <v>TX</v>
          </cell>
          <cell r="M55" t="str">
            <v>US</v>
          </cell>
          <cell r="N55" t="str">
            <v>75261</v>
          </cell>
        </row>
        <row r="56">
          <cell r="A56" t="str">
            <v>GGE1</v>
          </cell>
          <cell r="B56" t="str">
            <v>GGE1</v>
          </cell>
          <cell r="C56" t="str">
            <v>GGE1</v>
          </cell>
          <cell r="D56" t="str">
            <v>GGE1</v>
          </cell>
          <cell r="E56" t="str">
            <v>AMAZON</v>
          </cell>
          <cell r="F56" t="str">
            <v>0000000000</v>
          </cell>
        </row>
        <row r="56">
          <cell r="H56" t="str">
            <v>Muse Paintbar 217 Patriot Place</v>
          </cell>
        </row>
        <row r="56">
          <cell r="K56" t="str">
            <v>Foxborough</v>
          </cell>
          <cell r="L56" t="str">
            <v>MA</v>
          </cell>
          <cell r="M56" t="str">
            <v>US</v>
          </cell>
          <cell r="N56" t="str">
            <v>02035</v>
          </cell>
        </row>
        <row r="57">
          <cell r="A57" t="str">
            <v>GGE2</v>
          </cell>
          <cell r="B57" t="str">
            <v>GGE2</v>
          </cell>
          <cell r="C57" t="str">
            <v>GGE2</v>
          </cell>
          <cell r="D57" t="str">
            <v>GGE2</v>
          </cell>
          <cell r="E57" t="str">
            <v>AMAZON</v>
          </cell>
          <cell r="F57" t="str">
            <v>0000000000</v>
          </cell>
        </row>
        <row r="57">
          <cell r="H57" t="str">
            <v>Muse Paintbar 134 Main Street Port</v>
          </cell>
        </row>
        <row r="57">
          <cell r="K57" t="str">
            <v>Jefferson</v>
          </cell>
          <cell r="L57" t="str">
            <v>NY</v>
          </cell>
          <cell r="M57" t="str">
            <v>US</v>
          </cell>
          <cell r="N57" t="str">
            <v>11777</v>
          </cell>
        </row>
        <row r="58">
          <cell r="A58" t="str">
            <v>GGE3</v>
          </cell>
          <cell r="B58" t="str">
            <v>GGE3</v>
          </cell>
          <cell r="C58" t="str">
            <v>GGE3</v>
          </cell>
          <cell r="D58" t="str">
            <v>GGE3</v>
          </cell>
          <cell r="E58" t="str">
            <v>AMAZON</v>
          </cell>
          <cell r="F58" t="str">
            <v>0000000000</v>
          </cell>
        </row>
        <row r="58">
          <cell r="H58" t="str">
            <v>Muse Paintbar 55 N. Main Street</v>
          </cell>
        </row>
        <row r="58">
          <cell r="K58" t="str">
            <v>Norwalk</v>
          </cell>
          <cell r="L58" t="str">
            <v>CT</v>
          </cell>
          <cell r="M58" t="str">
            <v>US</v>
          </cell>
          <cell r="N58" t="str">
            <v>6854</v>
          </cell>
        </row>
        <row r="59">
          <cell r="A59" t="str">
            <v>GGE4</v>
          </cell>
          <cell r="B59" t="str">
            <v>GGE4</v>
          </cell>
          <cell r="C59" t="str">
            <v>GGE4</v>
          </cell>
          <cell r="D59" t="str">
            <v>GGE4</v>
          </cell>
          <cell r="E59" t="str">
            <v>AMAZON</v>
          </cell>
          <cell r="F59" t="str">
            <v>0000000000</v>
          </cell>
        </row>
        <row r="59">
          <cell r="H59" t="str">
            <v>Muse Paintbar 34 Middle Neck Road</v>
          </cell>
        </row>
        <row r="59">
          <cell r="K59" t="str">
            <v>Great Neck</v>
          </cell>
          <cell r="L59" t="str">
            <v>NY</v>
          </cell>
          <cell r="M59" t="str">
            <v>US</v>
          </cell>
          <cell r="N59" t="str">
            <v>11021</v>
          </cell>
        </row>
        <row r="60">
          <cell r="A60" t="str">
            <v>GGE5</v>
          </cell>
          <cell r="B60" t="str">
            <v>GGE5</v>
          </cell>
          <cell r="C60" t="str">
            <v>GGE5</v>
          </cell>
          <cell r="D60" t="str">
            <v>GGE5</v>
          </cell>
          <cell r="E60" t="str">
            <v>AMAZON</v>
          </cell>
          <cell r="F60" t="str">
            <v>0000000000</v>
          </cell>
        </row>
        <row r="60">
          <cell r="H60" t="str">
            <v>Muse Paintbar 837 Franklin Avenue</v>
          </cell>
        </row>
        <row r="60">
          <cell r="K60" t="str">
            <v>Garden City</v>
          </cell>
          <cell r="L60" t="str">
            <v>NY</v>
          </cell>
          <cell r="M60" t="str">
            <v>US</v>
          </cell>
          <cell r="N60" t="str">
            <v>11530</v>
          </cell>
        </row>
        <row r="61">
          <cell r="A61" t="str">
            <v>GGE6</v>
          </cell>
          <cell r="B61" t="str">
            <v>GGE6</v>
          </cell>
          <cell r="C61" t="str">
            <v>GGE6</v>
          </cell>
          <cell r="D61" t="str">
            <v>GGE6</v>
          </cell>
          <cell r="E61" t="str">
            <v>AMAZON</v>
          </cell>
          <cell r="F61" t="str">
            <v>0000000000</v>
          </cell>
        </row>
        <row r="61">
          <cell r="H61" t="str">
            <v>Muse Paintbar 265 Market Street #2040</v>
          </cell>
        </row>
        <row r="61">
          <cell r="K61" t="str">
            <v>Yonker</v>
          </cell>
          <cell r="L61" t="str">
            <v>NY</v>
          </cell>
          <cell r="M61" t="str">
            <v>US</v>
          </cell>
          <cell r="N61" t="str">
            <v>10710</v>
          </cell>
        </row>
        <row r="62">
          <cell r="A62" t="str">
            <v>GGE7</v>
          </cell>
          <cell r="B62" t="str">
            <v>GGE7</v>
          </cell>
          <cell r="C62" t="str">
            <v>GGE7</v>
          </cell>
          <cell r="D62" t="str">
            <v>GGE7</v>
          </cell>
          <cell r="E62" t="str">
            <v>AMAZON</v>
          </cell>
          <cell r="F62" t="str">
            <v>0000000000</v>
          </cell>
        </row>
        <row r="62">
          <cell r="H62" t="str">
            <v>Muse Paintbar 329 Greenwich Street</v>
          </cell>
        </row>
        <row r="62">
          <cell r="K62" t="str">
            <v>New York</v>
          </cell>
          <cell r="L62" t="str">
            <v>NY</v>
          </cell>
          <cell r="M62" t="str">
            <v>US</v>
          </cell>
          <cell r="N62" t="str">
            <v>10013</v>
          </cell>
        </row>
        <row r="63">
          <cell r="A63" t="str">
            <v>GGE8</v>
          </cell>
          <cell r="B63" t="str">
            <v>GGE8</v>
          </cell>
          <cell r="C63" t="str">
            <v>GGE8</v>
          </cell>
          <cell r="D63" t="str">
            <v>GGE8</v>
          </cell>
          <cell r="E63" t="str">
            <v>AMAZON</v>
          </cell>
          <cell r="F63" t="str">
            <v>0000000000</v>
          </cell>
        </row>
        <row r="63">
          <cell r="H63" t="str">
            <v>Muse Paintbar 2920 District Ave #100</v>
          </cell>
        </row>
        <row r="63">
          <cell r="K63" t="str">
            <v>Fairfax</v>
          </cell>
          <cell r="L63" t="str">
            <v>VA</v>
          </cell>
          <cell r="M63" t="str">
            <v>US</v>
          </cell>
          <cell r="N63" t="str">
            <v>22031</v>
          </cell>
        </row>
        <row r="64">
          <cell r="A64" t="str">
            <v>GRR1</v>
          </cell>
          <cell r="B64" t="str">
            <v>GRR1</v>
          </cell>
          <cell r="C64" t="str">
            <v>GRR1</v>
          </cell>
          <cell r="D64" t="str">
            <v>GRR1</v>
          </cell>
          <cell r="E64" t="str">
            <v>AMAZON</v>
          </cell>
          <cell r="F64" t="str">
            <v>0000000000</v>
          </cell>
        </row>
        <row r="64">
          <cell r="H64" t="str">
            <v>4500 68th St SE</v>
          </cell>
        </row>
        <row r="64">
          <cell r="K64" t="str">
            <v>CALEDONIA</v>
          </cell>
          <cell r="L64" t="str">
            <v>MI</v>
          </cell>
          <cell r="M64" t="str">
            <v>US</v>
          </cell>
          <cell r="N64" t="str">
            <v>49316-9141</v>
          </cell>
        </row>
        <row r="65">
          <cell r="A65" t="str">
            <v>GYR1</v>
          </cell>
          <cell r="B65" t="str">
            <v>GYR1</v>
          </cell>
          <cell r="C65" t="str">
            <v>GYR1</v>
          </cell>
          <cell r="D65" t="str">
            <v>GYR1</v>
          </cell>
          <cell r="E65" t="str">
            <v>AMAZON</v>
          </cell>
          <cell r="F65" t="str">
            <v>0000000000</v>
          </cell>
        </row>
        <row r="65">
          <cell r="H65" t="str">
            <v>605 143rd Ave</v>
          </cell>
        </row>
        <row r="65">
          <cell r="K65" t="str">
            <v>GOODYEAR</v>
          </cell>
          <cell r="L65" t="str">
            <v>AZ</v>
          </cell>
          <cell r="M65" t="str">
            <v>US</v>
          </cell>
          <cell r="N65" t="str">
            <v>85338</v>
          </cell>
        </row>
        <row r="66">
          <cell r="A66" t="str">
            <v>IND1</v>
          </cell>
          <cell r="B66" t="str">
            <v>IND1</v>
          </cell>
          <cell r="C66" t="str">
            <v>IND1</v>
          </cell>
          <cell r="D66" t="str">
            <v>IND1</v>
          </cell>
          <cell r="E66" t="str">
            <v>AMAZON</v>
          </cell>
          <cell r="F66" t="str">
            <v>0000000000</v>
          </cell>
        </row>
        <row r="66">
          <cell r="H66" t="str">
            <v>4255 Anson Blvd</v>
          </cell>
        </row>
        <row r="66">
          <cell r="K66" t="str">
            <v>Whitestown</v>
          </cell>
          <cell r="L66" t="str">
            <v>IN</v>
          </cell>
          <cell r="M66" t="str">
            <v>US</v>
          </cell>
          <cell r="N66" t="str">
            <v>46075</v>
          </cell>
        </row>
        <row r="67">
          <cell r="A67" t="str">
            <v>IND3</v>
          </cell>
          <cell r="B67" t="str">
            <v>IND3</v>
          </cell>
          <cell r="C67" t="str">
            <v>IND3</v>
          </cell>
          <cell r="D67" t="str">
            <v>IND3</v>
          </cell>
          <cell r="E67" t="str">
            <v>AMAZON</v>
          </cell>
          <cell r="F67" t="str">
            <v>0000000000</v>
          </cell>
        </row>
        <row r="67">
          <cell r="H67" t="str">
            <v>715 Airtech Pkwy Suite 195</v>
          </cell>
        </row>
        <row r="67">
          <cell r="K67" t="str">
            <v>Plainfield</v>
          </cell>
          <cell r="L67" t="str">
            <v>IN</v>
          </cell>
          <cell r="M67" t="str">
            <v>US</v>
          </cell>
          <cell r="N67" t="str">
            <v>46168</v>
          </cell>
        </row>
        <row r="68">
          <cell r="A68" t="str">
            <v>IND6</v>
          </cell>
          <cell r="B68" t="str">
            <v>IND6</v>
          </cell>
          <cell r="C68" t="str">
            <v>IND6</v>
          </cell>
          <cell r="D68" t="str">
            <v>IND6</v>
          </cell>
          <cell r="E68" t="str">
            <v>AMAZON</v>
          </cell>
          <cell r="F68" t="str">
            <v>0000000000</v>
          </cell>
        </row>
        <row r="68">
          <cell r="H68" t="str">
            <v>1453 E 10th St</v>
          </cell>
        </row>
        <row r="68">
          <cell r="K68" t="str">
            <v>Jeffersonville</v>
          </cell>
          <cell r="L68" t="str">
            <v>IN</v>
          </cell>
          <cell r="M68" t="str">
            <v>US</v>
          </cell>
          <cell r="N68" t="str">
            <v>47130</v>
          </cell>
        </row>
        <row r="69">
          <cell r="A69" t="str">
            <v>ITX1</v>
          </cell>
          <cell r="B69" t="str">
            <v>ITX1</v>
          </cell>
          <cell r="C69" t="str">
            <v>ITX1</v>
          </cell>
          <cell r="D69" t="str">
            <v>ITX1</v>
          </cell>
          <cell r="E69" t="str">
            <v>AMAZON</v>
          </cell>
          <cell r="F69" t="str">
            <v>0000000000</v>
          </cell>
        </row>
        <row r="69">
          <cell r="H69" t="str">
            <v>9851 Fallbrook Pines Drive Suite 100</v>
          </cell>
        </row>
        <row r="69">
          <cell r="K69" t="str">
            <v>Houston</v>
          </cell>
          <cell r="L69" t="str">
            <v>TX</v>
          </cell>
          <cell r="M69" t="str">
            <v>US</v>
          </cell>
          <cell r="N69" t="str">
            <v>77064-3329</v>
          </cell>
        </row>
        <row r="70">
          <cell r="A70" t="str">
            <v>ITX2</v>
          </cell>
          <cell r="B70" t="str">
            <v>ITX2</v>
          </cell>
          <cell r="C70" t="str">
            <v>ITX2</v>
          </cell>
          <cell r="D70" t="str">
            <v>ITX2</v>
          </cell>
          <cell r="E70" t="str">
            <v>AMAZON</v>
          </cell>
          <cell r="F70" t="str">
            <v>0000000000</v>
          </cell>
        </row>
        <row r="70">
          <cell r="H70" t="str">
            <v>6911 FAIRBANKS N HOUSTON RD SUITE 160</v>
          </cell>
        </row>
        <row r="70">
          <cell r="K70" t="str">
            <v>Houston</v>
          </cell>
          <cell r="L70" t="str">
            <v>TX</v>
          </cell>
          <cell r="M70" t="str">
            <v>US</v>
          </cell>
          <cell r="N70" t="str">
            <v>77040-1437</v>
          </cell>
        </row>
        <row r="71">
          <cell r="A71" t="str">
            <v>IVSA</v>
          </cell>
          <cell r="B71" t="str">
            <v>IVSA</v>
          </cell>
          <cell r="C71" t="str">
            <v>IVSA</v>
          </cell>
          <cell r="D71" t="str">
            <v>IVSA</v>
          </cell>
          <cell r="E71" t="str">
            <v>AMAZON</v>
          </cell>
          <cell r="F71" t="str">
            <v>0000000000</v>
          </cell>
        </row>
        <row r="71">
          <cell r="H71" t="str">
            <v>4620 Olympic Blvd</v>
          </cell>
        </row>
        <row r="71">
          <cell r="K71" t="str">
            <v>Erlanger</v>
          </cell>
          <cell r="L71" t="str">
            <v>KY</v>
          </cell>
          <cell r="M71" t="str">
            <v>US</v>
          </cell>
          <cell r="N71" t="str">
            <v>41018</v>
          </cell>
        </row>
        <row r="72">
          <cell r="A72" t="str">
            <v>IVSB</v>
          </cell>
          <cell r="B72" t="str">
            <v>IVSB</v>
          </cell>
          <cell r="C72" t="str">
            <v>IVSB</v>
          </cell>
          <cell r="D72" t="str">
            <v>IVSB</v>
          </cell>
          <cell r="E72" t="str">
            <v>AMAZON</v>
          </cell>
          <cell r="F72" t="str">
            <v>0000000000</v>
          </cell>
        </row>
        <row r="72">
          <cell r="H72" t="str">
            <v>3521 POINT PLEASANT RD</v>
          </cell>
        </row>
        <row r="72">
          <cell r="K72" t="str">
            <v>HEBRON</v>
          </cell>
          <cell r="L72" t="str">
            <v>KY</v>
          </cell>
          <cell r="M72" t="str">
            <v>US</v>
          </cell>
          <cell r="N72" t="str">
            <v>41048</v>
          </cell>
        </row>
        <row r="73">
          <cell r="A73" t="str">
            <v>IVSC</v>
          </cell>
          <cell r="B73" t="str">
            <v>IVSC</v>
          </cell>
          <cell r="C73" t="str">
            <v>IVSC</v>
          </cell>
          <cell r="D73" t="str">
            <v>IVSC</v>
          </cell>
          <cell r="E73" t="str">
            <v>AMAZON</v>
          </cell>
          <cell r="F73" t="str">
            <v>0000000000</v>
          </cell>
        </row>
        <row r="73">
          <cell r="H73" t="str">
            <v>Uno - West Deptford 1225 Forest Parkway West Deptf</v>
          </cell>
        </row>
        <row r="73">
          <cell r="K73" t="str">
            <v>West Deptford</v>
          </cell>
          <cell r="L73" t="str">
            <v>NJ</v>
          </cell>
          <cell r="M73" t="str">
            <v>US</v>
          </cell>
          <cell r="N73" t="str">
            <v>08066</v>
          </cell>
        </row>
        <row r="74">
          <cell r="A74" t="str">
            <v>IVSD</v>
          </cell>
          <cell r="B74" t="str">
            <v>IVSD</v>
          </cell>
          <cell r="C74" t="str">
            <v>IVSD</v>
          </cell>
          <cell r="D74" t="str">
            <v>IVSD</v>
          </cell>
          <cell r="E74" t="str">
            <v>AMAZON</v>
          </cell>
          <cell r="F74" t="str">
            <v>0000000000</v>
          </cell>
        </row>
        <row r="74">
          <cell r="H74" t="str">
            <v>UNO - Swedesboro NJ 800 Arlington Blvd Swedesboro</v>
          </cell>
        </row>
        <row r="74">
          <cell r="K74" t="str">
            <v>Swedesboro</v>
          </cell>
          <cell r="L74" t="str">
            <v>NJ</v>
          </cell>
          <cell r="M74" t="str">
            <v>US</v>
          </cell>
          <cell r="N74" t="str">
            <v>08085</v>
          </cell>
        </row>
        <row r="75">
          <cell r="A75" t="str">
            <v>IVSE</v>
          </cell>
          <cell r="B75" t="str">
            <v>IVSE</v>
          </cell>
          <cell r="C75" t="str">
            <v>IVSE</v>
          </cell>
          <cell r="D75" t="str">
            <v>IVSE</v>
          </cell>
          <cell r="E75" t="str">
            <v>AMAZON</v>
          </cell>
          <cell r="F75" t="str">
            <v>0000000000</v>
          </cell>
        </row>
        <row r="75">
          <cell r="H75" t="str">
            <v>2951 MARION DR UNIT 101</v>
          </cell>
        </row>
        <row r="75">
          <cell r="K75" t="str">
            <v>LAS VEGAS</v>
          </cell>
          <cell r="L75" t="str">
            <v>NV</v>
          </cell>
          <cell r="M75" t="str">
            <v>US</v>
          </cell>
          <cell r="N75" t="str">
            <v>89115-3467</v>
          </cell>
        </row>
        <row r="76">
          <cell r="A76" t="str">
            <v>IVSF</v>
          </cell>
          <cell r="B76" t="str">
            <v>IVSF</v>
          </cell>
          <cell r="C76" t="str">
            <v>IVSF</v>
          </cell>
          <cell r="D76" t="str">
            <v>IVSF</v>
          </cell>
          <cell r="E76" t="str">
            <v>AMAZON</v>
          </cell>
          <cell r="F76" t="str">
            <v>0000000000</v>
          </cell>
        </row>
        <row r="76">
          <cell r="H76" t="str">
            <v>2821 MARION DR STE 109</v>
          </cell>
        </row>
        <row r="76">
          <cell r="K76" t="str">
            <v>LAS VEGAS</v>
          </cell>
          <cell r="L76" t="str">
            <v>NV</v>
          </cell>
          <cell r="M76" t="str">
            <v>US</v>
          </cell>
          <cell r="N76" t="str">
            <v>89115</v>
          </cell>
        </row>
        <row r="77">
          <cell r="A77" t="str">
            <v>JAX2</v>
          </cell>
          <cell r="B77" t="str">
            <v>JAX2</v>
          </cell>
          <cell r="C77" t="str">
            <v>JAX2</v>
          </cell>
          <cell r="D77" t="str">
            <v>JAX2</v>
          </cell>
          <cell r="E77" t="str">
            <v>AMAZON</v>
          </cell>
          <cell r="F77" t="str">
            <v>0000000000</v>
          </cell>
        </row>
        <row r="77">
          <cell r="H77" t="str">
            <v>12900 Pecan Park Road</v>
          </cell>
        </row>
        <row r="77">
          <cell r="K77" t="str">
            <v>Jacksonville</v>
          </cell>
          <cell r="L77" t="str">
            <v>FL</v>
          </cell>
          <cell r="M77" t="str">
            <v>US</v>
          </cell>
          <cell r="N77" t="str">
            <v>32218</v>
          </cell>
        </row>
        <row r="78">
          <cell r="A78" t="str">
            <v>JFK8</v>
          </cell>
          <cell r="B78" t="str">
            <v>JFK8</v>
          </cell>
          <cell r="C78" t="str">
            <v>JFK8</v>
          </cell>
          <cell r="D78" t="str">
            <v>JFK8</v>
          </cell>
          <cell r="E78" t="str">
            <v>AMAZON</v>
          </cell>
          <cell r="F78" t="str">
            <v>0000000000</v>
          </cell>
        </row>
        <row r="78">
          <cell r="H78" t="str">
            <v>546 Gulf Avenue</v>
          </cell>
        </row>
        <row r="78">
          <cell r="K78" t="str">
            <v>Staten Island</v>
          </cell>
          <cell r="L78" t="str">
            <v>NY</v>
          </cell>
          <cell r="M78" t="str">
            <v>US</v>
          </cell>
          <cell r="N78" t="str">
            <v>10314</v>
          </cell>
        </row>
        <row r="79">
          <cell r="A79" t="str">
            <v>K1W1</v>
          </cell>
          <cell r="B79" t="str">
            <v>K1W1</v>
          </cell>
          <cell r="C79" t="str">
            <v>K1W1</v>
          </cell>
          <cell r="D79" t="str">
            <v>K1W1</v>
          </cell>
          <cell r="E79" t="str">
            <v>AMAZON</v>
          </cell>
          <cell r="F79" t="str">
            <v>0000000000</v>
          </cell>
        </row>
        <row r="79">
          <cell r="H79" t="str">
            <v>4401 Eucalyptus Ave Unit 120</v>
          </cell>
        </row>
        <row r="79">
          <cell r="K79" t="str">
            <v>Chino</v>
          </cell>
          <cell r="L79" t="str">
            <v>CA</v>
          </cell>
          <cell r="M79" t="str">
            <v>US</v>
          </cell>
          <cell r="N79" t="str">
            <v>91710</v>
          </cell>
        </row>
        <row r="80">
          <cell r="A80" t="str">
            <v>LAS2</v>
          </cell>
          <cell r="B80" t="str">
            <v>LAS2</v>
          </cell>
          <cell r="C80" t="str">
            <v>LAS2</v>
          </cell>
          <cell r="D80" t="str">
            <v>LAS2</v>
          </cell>
          <cell r="E80" t="str">
            <v>AMAZON</v>
          </cell>
          <cell r="F80" t="str">
            <v>0000000000</v>
          </cell>
        </row>
        <row r="80">
          <cell r="H80" t="str">
            <v>3837 Bay Lake Trail, Suite 111 North</v>
          </cell>
        </row>
        <row r="80">
          <cell r="K80" t="str">
            <v>Las Vegas</v>
          </cell>
          <cell r="L80" t="str">
            <v>NV</v>
          </cell>
          <cell r="M80" t="str">
            <v>US</v>
          </cell>
          <cell r="N80" t="str">
            <v>89030</v>
          </cell>
        </row>
        <row r="81">
          <cell r="A81" t="str">
            <v>LAS7</v>
          </cell>
          <cell r="B81" t="str">
            <v>LAS7</v>
          </cell>
          <cell r="C81" t="str">
            <v>LAS7</v>
          </cell>
          <cell r="D81" t="str">
            <v>LAS7</v>
          </cell>
          <cell r="E81" t="str">
            <v>AMAZON</v>
          </cell>
          <cell r="F81" t="str">
            <v>0000000000</v>
          </cell>
        </row>
        <row r="81">
          <cell r="H81" t="str">
            <v>6001 East Tropical Parkway</v>
          </cell>
        </row>
        <row r="81">
          <cell r="K81" t="str">
            <v>Las Vegas</v>
          </cell>
          <cell r="L81" t="str">
            <v>NV</v>
          </cell>
          <cell r="M81" t="str">
            <v>US</v>
          </cell>
          <cell r="N81" t="str">
            <v>89115-1935</v>
          </cell>
        </row>
        <row r="82">
          <cell r="A82" t="str">
            <v>LEX1</v>
          </cell>
          <cell r="B82" t="str">
            <v>LEX1</v>
          </cell>
          <cell r="C82" t="str">
            <v>LEX1</v>
          </cell>
          <cell r="D82" t="str">
            <v>LEX1</v>
          </cell>
          <cell r="E82" t="str">
            <v>AMAZON</v>
          </cell>
          <cell r="F82" t="str">
            <v>0000000000</v>
          </cell>
        </row>
        <row r="82">
          <cell r="H82" t="str">
            <v>1850 Mercer RD</v>
          </cell>
        </row>
        <row r="82">
          <cell r="K82" t="str">
            <v>Lexington</v>
          </cell>
          <cell r="L82" t="str">
            <v>KY</v>
          </cell>
          <cell r="M82" t="str">
            <v>US</v>
          </cell>
          <cell r="N82" t="str">
            <v>40511</v>
          </cell>
        </row>
        <row r="83">
          <cell r="A83" t="str">
            <v>LEX2</v>
          </cell>
          <cell r="B83" t="str">
            <v>LEX2</v>
          </cell>
          <cell r="C83" t="str">
            <v>LEX2</v>
          </cell>
          <cell r="D83" t="str">
            <v>LEX2</v>
          </cell>
          <cell r="E83" t="str">
            <v>AMAZON</v>
          </cell>
          <cell r="F83" t="str">
            <v>0000000000</v>
          </cell>
        </row>
        <row r="83">
          <cell r="H83" t="str">
            <v>172 Trade St.</v>
          </cell>
        </row>
        <row r="83">
          <cell r="K83" t="str">
            <v>Lexington</v>
          </cell>
          <cell r="L83" t="str">
            <v>KY</v>
          </cell>
          <cell r="M83" t="str">
            <v>US</v>
          </cell>
          <cell r="N83" t="str">
            <v>40511</v>
          </cell>
        </row>
        <row r="84">
          <cell r="A84" t="str">
            <v>LFSI</v>
          </cell>
          <cell r="B84" t="str">
            <v>LFSI</v>
          </cell>
          <cell r="C84" t="str">
            <v>LFSI</v>
          </cell>
          <cell r="D84" t="str">
            <v>LFSI</v>
          </cell>
          <cell r="E84" t="str">
            <v>AMAZON</v>
          </cell>
          <cell r="F84" t="str">
            <v>0000000000</v>
          </cell>
        </row>
        <row r="84">
          <cell r="H84" t="str">
            <v>761 Fifth Ave</v>
          </cell>
        </row>
        <row r="84">
          <cell r="K84" t="str">
            <v>King of Prussia</v>
          </cell>
          <cell r="L84" t="str">
            <v>PA</v>
          </cell>
          <cell r="M84" t="str">
            <v>US</v>
          </cell>
          <cell r="N84" t="str">
            <v>19406</v>
          </cell>
        </row>
        <row r="85">
          <cell r="A85" t="str">
            <v>LGA9</v>
          </cell>
          <cell r="B85" t="str">
            <v>LGA9</v>
          </cell>
          <cell r="C85" t="str">
            <v>LGA9</v>
          </cell>
          <cell r="D85" t="str">
            <v>LGA9</v>
          </cell>
          <cell r="E85" t="str">
            <v>AMAZON</v>
          </cell>
          <cell r="F85" t="str">
            <v>0000000000</v>
          </cell>
        </row>
        <row r="85">
          <cell r="H85" t="str">
            <v>2170 Route 27</v>
          </cell>
        </row>
        <row r="85">
          <cell r="K85" t="str">
            <v>Edison</v>
          </cell>
          <cell r="L85" t="str">
            <v>NJ</v>
          </cell>
          <cell r="M85" t="str">
            <v>US</v>
          </cell>
          <cell r="N85" t="str">
            <v>08817</v>
          </cell>
        </row>
        <row r="86">
          <cell r="A86" t="str">
            <v>LGB3</v>
          </cell>
          <cell r="B86" t="str">
            <v>LGB3</v>
          </cell>
          <cell r="C86" t="str">
            <v>LGB3</v>
          </cell>
          <cell r="D86" t="str">
            <v>LGB3</v>
          </cell>
          <cell r="E86" t="str">
            <v>AMAZON</v>
          </cell>
          <cell r="F86" t="str">
            <v>0000000000</v>
          </cell>
        </row>
        <row r="86">
          <cell r="H86" t="str">
            <v>4950 Goodman Way</v>
          </cell>
        </row>
        <row r="86">
          <cell r="K86" t="str">
            <v>Eastvale</v>
          </cell>
          <cell r="L86" t="str">
            <v>CA</v>
          </cell>
          <cell r="M86" t="str">
            <v>US</v>
          </cell>
          <cell r="N86" t="str">
            <v>91752</v>
          </cell>
        </row>
        <row r="87">
          <cell r="A87" t="str">
            <v>LGB7</v>
          </cell>
          <cell r="B87" t="str">
            <v>LGB7</v>
          </cell>
          <cell r="C87" t="str">
            <v>LGB7</v>
          </cell>
          <cell r="D87" t="str">
            <v>LGB7</v>
          </cell>
          <cell r="E87" t="str">
            <v>AMAZON</v>
          </cell>
          <cell r="F87" t="str">
            <v>0000000000</v>
          </cell>
        </row>
        <row r="87">
          <cell r="H87" t="str">
            <v>1660 N. Linden</v>
          </cell>
        </row>
        <row r="87">
          <cell r="K87" t="str">
            <v>Avenue Rialto</v>
          </cell>
          <cell r="L87" t="str">
            <v>CA</v>
          </cell>
          <cell r="M87" t="str">
            <v>US</v>
          </cell>
          <cell r="N87" t="str">
            <v>92376-2427</v>
          </cell>
        </row>
        <row r="88">
          <cell r="A88" t="str">
            <v>MCI1</v>
          </cell>
          <cell r="B88" t="str">
            <v>MCI1</v>
          </cell>
          <cell r="C88" t="str">
            <v>MCI1</v>
          </cell>
          <cell r="D88" t="str">
            <v>MCI1</v>
          </cell>
          <cell r="E88" t="str">
            <v>AMAZON</v>
          </cell>
          <cell r="F88" t="str">
            <v>0000000000</v>
          </cell>
        </row>
        <row r="88">
          <cell r="H88" t="str">
            <v>113th St &amp; Renner Blvd.</v>
          </cell>
        </row>
        <row r="88">
          <cell r="K88" t="str">
            <v>Lenexa</v>
          </cell>
          <cell r="L88" t="str">
            <v>KS</v>
          </cell>
          <cell r="M88" t="str">
            <v>US</v>
          </cell>
          <cell r="N88" t="str">
            <v>66219</v>
          </cell>
        </row>
        <row r="89">
          <cell r="A89" t="str">
            <v>MCO1</v>
          </cell>
          <cell r="B89" t="str">
            <v>MCO1</v>
          </cell>
          <cell r="C89" t="str">
            <v>MCO1</v>
          </cell>
          <cell r="D89" t="str">
            <v>MCO1</v>
          </cell>
          <cell r="E89" t="str">
            <v>AMAZON</v>
          </cell>
          <cell r="F89" t="str">
            <v>0000000000</v>
          </cell>
        </row>
        <row r="89">
          <cell r="H89" t="str">
            <v>12340 Boggy Creek Rd</v>
          </cell>
        </row>
        <row r="89">
          <cell r="K89" t="str">
            <v>Orlando</v>
          </cell>
          <cell r="L89" t="str">
            <v>FL</v>
          </cell>
          <cell r="M89" t="str">
            <v>US</v>
          </cell>
          <cell r="N89" t="str">
            <v>32824</v>
          </cell>
        </row>
        <row r="90">
          <cell r="A90" t="str">
            <v>MDW4</v>
          </cell>
          <cell r="B90" t="str">
            <v>MDW4</v>
          </cell>
          <cell r="C90" t="str">
            <v>MDW4</v>
          </cell>
          <cell r="D90" t="str">
            <v>MDW4</v>
          </cell>
          <cell r="E90" t="str">
            <v>AMAZON</v>
          </cell>
          <cell r="F90" t="str">
            <v>0000000000</v>
          </cell>
        </row>
        <row r="90">
          <cell r="H90" t="str">
            <v>201 EMERALD DR</v>
          </cell>
        </row>
        <row r="90">
          <cell r="K90" t="str">
            <v>Joliet</v>
          </cell>
          <cell r="L90" t="str">
            <v>IL</v>
          </cell>
          <cell r="M90" t="str">
            <v>US</v>
          </cell>
          <cell r="N90" t="str">
            <v>60433-3281</v>
          </cell>
        </row>
        <row r="91">
          <cell r="A91" t="str">
            <v>MDW7</v>
          </cell>
          <cell r="B91" t="str">
            <v>MDW7</v>
          </cell>
          <cell r="C91" t="str">
            <v>MDW7</v>
          </cell>
          <cell r="D91" t="str">
            <v>MDW7</v>
          </cell>
          <cell r="E91" t="str">
            <v>AMAZON</v>
          </cell>
          <cell r="F91" t="str">
            <v>0000000000</v>
          </cell>
        </row>
        <row r="91">
          <cell r="H91" t="str">
            <v>6605 Monee Manhattan Road</v>
          </cell>
        </row>
        <row r="91">
          <cell r="K91" t="str">
            <v>Monee</v>
          </cell>
          <cell r="L91" t="str">
            <v>IL</v>
          </cell>
          <cell r="M91" t="str">
            <v>US</v>
          </cell>
          <cell r="N91" t="str">
            <v>60449</v>
          </cell>
        </row>
        <row r="92">
          <cell r="A92" t="str">
            <v>MEM2</v>
          </cell>
          <cell r="B92" t="str">
            <v>MEM2</v>
          </cell>
          <cell r="C92" t="str">
            <v>MEM2</v>
          </cell>
          <cell r="D92" t="str">
            <v>MEM2</v>
          </cell>
          <cell r="E92" t="str">
            <v>AMAZON</v>
          </cell>
          <cell r="F92" t="str">
            <v>0000000000</v>
          </cell>
        </row>
        <row r="92">
          <cell r="H92" t="str">
            <v>191 NORFOLK SOUTHERN WAY</v>
          </cell>
        </row>
        <row r="92">
          <cell r="K92" t="str">
            <v>BYHALIA</v>
          </cell>
          <cell r="L92" t="str">
            <v>MS</v>
          </cell>
          <cell r="M92" t="str">
            <v>US</v>
          </cell>
          <cell r="N92" t="str">
            <v>38611-2306</v>
          </cell>
        </row>
        <row r="93">
          <cell r="A93" t="str">
            <v>MEM4</v>
          </cell>
          <cell r="B93" t="str">
            <v>MEM4</v>
          </cell>
          <cell r="C93" t="str">
            <v>MEM4</v>
          </cell>
          <cell r="D93" t="str">
            <v>MEM4</v>
          </cell>
          <cell r="E93" t="str">
            <v>AMAZON</v>
          </cell>
          <cell r="F93" t="str">
            <v>0000000000</v>
          </cell>
        </row>
        <row r="93">
          <cell r="H93" t="str">
            <v>4055 NEW ALLEN RD</v>
          </cell>
        </row>
        <row r="93">
          <cell r="K93" t="str">
            <v>MEMPHIS</v>
          </cell>
          <cell r="L93" t="str">
            <v>TN</v>
          </cell>
          <cell r="M93" t="str">
            <v>US</v>
          </cell>
          <cell r="N93" t="str">
            <v>38128-2718</v>
          </cell>
        </row>
        <row r="94">
          <cell r="A94" t="str">
            <v>MIA1</v>
          </cell>
          <cell r="B94" t="str">
            <v>MIA1</v>
          </cell>
          <cell r="C94" t="str">
            <v>MIA1</v>
          </cell>
          <cell r="D94" t="str">
            <v>MIA1</v>
          </cell>
          <cell r="E94" t="str">
            <v>AMAZON</v>
          </cell>
          <cell r="F94" t="str">
            <v>0000000000</v>
          </cell>
        </row>
        <row r="94">
          <cell r="H94" t="str">
            <v>1900 NW 132nd Place Doral</v>
          </cell>
        </row>
        <row r="94">
          <cell r="K94" t="str">
            <v>Miami</v>
          </cell>
          <cell r="L94" t="str">
            <v>FL</v>
          </cell>
          <cell r="M94" t="str">
            <v>US</v>
          </cell>
          <cell r="N94" t="str">
            <v>33182</v>
          </cell>
        </row>
        <row r="95">
          <cell r="A95" t="str">
            <v>MIA1-33054</v>
          </cell>
          <cell r="B95" t="str">
            <v>MIA1-33054</v>
          </cell>
          <cell r="C95" t="str">
            <v>MIA1-33054</v>
          </cell>
          <cell r="D95" t="str">
            <v>MIA1-33054</v>
          </cell>
          <cell r="E95" t="str">
            <v>AMAZON</v>
          </cell>
          <cell r="F95" t="str">
            <v>0000000000</v>
          </cell>
        </row>
        <row r="95">
          <cell r="H95" t="str">
            <v>14000 NW 37th Avenue</v>
          </cell>
        </row>
        <row r="95">
          <cell r="K95" t="str">
            <v>Opa-Locka</v>
          </cell>
          <cell r="L95" t="str">
            <v>FL</v>
          </cell>
          <cell r="M95" t="str">
            <v>US</v>
          </cell>
          <cell r="N95" t="str">
            <v>33054</v>
          </cell>
        </row>
        <row r="96">
          <cell r="A96" t="str">
            <v>MKE1</v>
          </cell>
          <cell r="B96" t="str">
            <v>MKE1</v>
          </cell>
          <cell r="C96" t="str">
            <v>MKE1</v>
          </cell>
          <cell r="D96" t="str">
            <v>MKE1</v>
          </cell>
          <cell r="E96" t="str">
            <v>AMAZON</v>
          </cell>
          <cell r="F96" t="str">
            <v>0000000000</v>
          </cell>
        </row>
        <row r="96">
          <cell r="H96" t="str">
            <v>3501 120th Ave,Kenosha,WI 53144</v>
          </cell>
        </row>
        <row r="96">
          <cell r="K96" t="str">
            <v>Kenosha</v>
          </cell>
          <cell r="L96" t="str">
            <v>WI</v>
          </cell>
          <cell r="M96" t="str">
            <v>US</v>
          </cell>
          <cell r="N96" t="str">
            <v>53144</v>
          </cell>
        </row>
        <row r="97">
          <cell r="A97" t="str">
            <v>MKE2</v>
          </cell>
          <cell r="B97" t="str">
            <v>MKE2</v>
          </cell>
          <cell r="C97" t="str">
            <v>MKE2</v>
          </cell>
          <cell r="D97" t="str">
            <v>MKE2</v>
          </cell>
          <cell r="E97" t="str">
            <v>AMAZON</v>
          </cell>
          <cell r="F97" t="str">
            <v>0000000000</v>
          </cell>
        </row>
        <row r="97">
          <cell r="H97" t="str">
            <v>9700 S 13th Street</v>
          </cell>
        </row>
        <row r="97">
          <cell r="K97" t="str">
            <v>OAK CREEK</v>
          </cell>
          <cell r="L97" t="str">
            <v>WI</v>
          </cell>
          <cell r="M97" t="str">
            <v>US</v>
          </cell>
          <cell r="N97" t="str">
            <v>53154-4925</v>
          </cell>
        </row>
        <row r="98">
          <cell r="A98" t="str">
            <v>MSP1</v>
          </cell>
          <cell r="B98" t="str">
            <v>MSP1</v>
          </cell>
          <cell r="C98" t="str">
            <v>MSP1</v>
          </cell>
          <cell r="D98" t="str">
            <v>MSP1</v>
          </cell>
          <cell r="E98" t="str">
            <v>AMAZON</v>
          </cell>
          <cell r="F98" t="str">
            <v>0000000000</v>
          </cell>
        </row>
        <row r="98">
          <cell r="H98" t="str">
            <v>2601 4th Avenue East</v>
          </cell>
        </row>
        <row r="98">
          <cell r="K98" t="str">
            <v>Shakopee</v>
          </cell>
          <cell r="L98" t="str">
            <v>MN</v>
          </cell>
          <cell r="M98" t="str">
            <v>US</v>
          </cell>
          <cell r="N98" t="str">
            <v>55379</v>
          </cell>
        </row>
        <row r="99">
          <cell r="A99" t="str">
            <v>OHT9</v>
          </cell>
          <cell r="B99" t="str">
            <v>OHT9</v>
          </cell>
          <cell r="C99" t="str">
            <v>OHT9</v>
          </cell>
          <cell r="D99" t="str">
            <v>OHT9</v>
          </cell>
          <cell r="E99" t="str">
            <v>AMAZON</v>
          </cell>
          <cell r="F99" t="str">
            <v>0000000000</v>
          </cell>
        </row>
        <row r="99">
          <cell r="H99" t="str">
            <v>2125 West San Bernardino Ave</v>
          </cell>
        </row>
        <row r="99">
          <cell r="K99" t="str">
            <v>Redlands</v>
          </cell>
          <cell r="L99" t="str">
            <v>CA</v>
          </cell>
          <cell r="M99" t="str">
            <v>US</v>
          </cell>
          <cell r="N99" t="str">
            <v>92374-5005</v>
          </cell>
        </row>
        <row r="100">
          <cell r="A100" t="str">
            <v>OKC1</v>
          </cell>
          <cell r="B100" t="str">
            <v>OKC1</v>
          </cell>
          <cell r="C100" t="str">
            <v>OKC1</v>
          </cell>
          <cell r="D100" t="str">
            <v>OKC1</v>
          </cell>
          <cell r="E100" t="str">
            <v>AMAZON</v>
          </cell>
          <cell r="F100" t="str">
            <v>0000000000</v>
          </cell>
        </row>
        <row r="100">
          <cell r="H100" t="str">
            <v>9201 S Portland Avenue</v>
          </cell>
        </row>
        <row r="100">
          <cell r="K100" t="str">
            <v>OKLAHOMA CITY</v>
          </cell>
          <cell r="L100" t="str">
            <v>OK</v>
          </cell>
          <cell r="M100" t="str">
            <v>US</v>
          </cell>
          <cell r="N100" t="str">
            <v>73159-0003</v>
          </cell>
        </row>
        <row r="101">
          <cell r="A101" t="str">
            <v>ONT7</v>
          </cell>
          <cell r="B101" t="str">
            <v>ONT7</v>
          </cell>
          <cell r="C101" t="str">
            <v>ONT7</v>
          </cell>
          <cell r="D101" t="str">
            <v>ONT7</v>
          </cell>
          <cell r="E101" t="str">
            <v>AMAZON</v>
          </cell>
          <cell r="F101" t="str">
            <v>0000000000</v>
          </cell>
        </row>
        <row r="101">
          <cell r="H101" t="str">
            <v>2125 W. San Bernandino Ave.</v>
          </cell>
        </row>
        <row r="101">
          <cell r="K101" t="str">
            <v>Redlands</v>
          </cell>
          <cell r="L101" t="str">
            <v>CA</v>
          </cell>
          <cell r="M101" t="str">
            <v>US</v>
          </cell>
          <cell r="N101" t="str">
            <v>92374</v>
          </cell>
        </row>
        <row r="102">
          <cell r="A102" t="str">
            <v>ORD6</v>
          </cell>
          <cell r="B102" t="str">
            <v>ORD6</v>
          </cell>
          <cell r="C102" t="str">
            <v>ORD6</v>
          </cell>
          <cell r="D102" t="str">
            <v>ORD6</v>
          </cell>
          <cell r="E102" t="str">
            <v>AMAZON</v>
          </cell>
          <cell r="F102" t="str">
            <v>0000000000</v>
          </cell>
        </row>
        <row r="102">
          <cell r="H102" t="str">
            <v>1250 N Mittel Blvd</v>
          </cell>
        </row>
        <row r="102">
          <cell r="K102" t="str">
            <v>Wood Dale</v>
          </cell>
          <cell r="L102" t="str">
            <v>IL</v>
          </cell>
          <cell r="M102" t="str">
            <v>US</v>
          </cell>
          <cell r="N102" t="str">
            <v>60191</v>
          </cell>
        </row>
        <row r="103">
          <cell r="A103" t="str">
            <v>PCA1</v>
          </cell>
          <cell r="B103" t="str">
            <v>PCA1</v>
          </cell>
          <cell r="C103" t="str">
            <v>PCA1</v>
          </cell>
          <cell r="D103" t="str">
            <v>PCA1</v>
          </cell>
          <cell r="E103" t="str">
            <v>AMAZON</v>
          </cell>
          <cell r="F103" t="str">
            <v>0000000000</v>
          </cell>
        </row>
        <row r="103">
          <cell r="H103" t="str">
            <v>1565 N MacArthur Dr</v>
          </cell>
        </row>
        <row r="103">
          <cell r="K103" t="str">
            <v>Tracy</v>
          </cell>
          <cell r="L103" t="str">
            <v>CA</v>
          </cell>
          <cell r="M103" t="str">
            <v>US</v>
          </cell>
          <cell r="N103" t="str">
            <v>95376</v>
          </cell>
        </row>
        <row r="104">
          <cell r="A104" t="str">
            <v>PDX6</v>
          </cell>
          <cell r="B104" t="str">
            <v>PDX6</v>
          </cell>
          <cell r="C104" t="str">
            <v>PDX6</v>
          </cell>
          <cell r="D104" t="str">
            <v>PDX6</v>
          </cell>
          <cell r="E104" t="str">
            <v>AMAZON</v>
          </cell>
          <cell r="F104" t="str">
            <v>0000000000</v>
          </cell>
        </row>
        <row r="104">
          <cell r="H104" t="str">
            <v>15000 N. Lombard St</v>
          </cell>
        </row>
        <row r="104">
          <cell r="K104" t="str">
            <v>Portland</v>
          </cell>
          <cell r="L104" t="str">
            <v>OR</v>
          </cell>
          <cell r="M104" t="str">
            <v>US</v>
          </cell>
          <cell r="N104" t="str">
            <v>97203-6814</v>
          </cell>
        </row>
        <row r="105">
          <cell r="A105" t="str">
            <v>PDX7</v>
          </cell>
          <cell r="B105" t="str">
            <v>PDX7</v>
          </cell>
          <cell r="C105" t="str">
            <v>PDX7</v>
          </cell>
          <cell r="D105" t="str">
            <v>PDX7</v>
          </cell>
          <cell r="E105" t="str">
            <v>AMAZON</v>
          </cell>
          <cell r="F105" t="str">
            <v>0000000000</v>
          </cell>
        </row>
        <row r="105">
          <cell r="H105" t="str">
            <v>4775 Depot Ct SE</v>
          </cell>
        </row>
        <row r="105">
          <cell r="K105" t="str">
            <v>Salem</v>
          </cell>
          <cell r="L105" t="str">
            <v>OR</v>
          </cell>
          <cell r="M105" t="str">
            <v>US</v>
          </cell>
          <cell r="N105" t="str">
            <v>97317-8983</v>
          </cell>
        </row>
        <row r="106">
          <cell r="A106" t="str">
            <v>PDX9</v>
          </cell>
          <cell r="B106" t="str">
            <v>PDX9</v>
          </cell>
          <cell r="C106" t="str">
            <v>PDX9</v>
          </cell>
          <cell r="D106" t="str">
            <v>PDX9</v>
          </cell>
          <cell r="E106" t="str">
            <v>AMAZON</v>
          </cell>
          <cell r="F106" t="str">
            <v>0000000000</v>
          </cell>
        </row>
        <row r="106">
          <cell r="H106" t="str">
            <v>1250 NW Swigert Way</v>
          </cell>
        </row>
        <row r="106">
          <cell r="K106" t="str">
            <v>Troutdale</v>
          </cell>
          <cell r="L106" t="str">
            <v>OR</v>
          </cell>
          <cell r="M106" t="str">
            <v>US</v>
          </cell>
          <cell r="N106" t="str">
            <v>97060</v>
          </cell>
        </row>
        <row r="107">
          <cell r="A107" t="str">
            <v>PHL1</v>
          </cell>
          <cell r="B107" t="str">
            <v>PHL1</v>
          </cell>
          <cell r="C107" t="str">
            <v>PHL1</v>
          </cell>
          <cell r="D107" t="str">
            <v>PHL1</v>
          </cell>
          <cell r="E107" t="str">
            <v>AMAZON</v>
          </cell>
          <cell r="F107" t="str">
            <v>0000000000</v>
          </cell>
        </row>
        <row r="107">
          <cell r="H107" t="str">
            <v>1 Centerpoint Blvd.</v>
          </cell>
        </row>
        <row r="107">
          <cell r="K107" t="str">
            <v>New Castle</v>
          </cell>
          <cell r="L107" t="str">
            <v>DE</v>
          </cell>
          <cell r="M107" t="str">
            <v>US</v>
          </cell>
          <cell r="N107" t="str">
            <v>19720</v>
          </cell>
        </row>
        <row r="108">
          <cell r="A108" t="str">
            <v>PHL3</v>
          </cell>
          <cell r="B108" t="str">
            <v>PHL3</v>
          </cell>
          <cell r="C108" t="str">
            <v>PHL3</v>
          </cell>
          <cell r="D108" t="str">
            <v>PHL3</v>
          </cell>
          <cell r="E108" t="str">
            <v>AMAZON</v>
          </cell>
          <cell r="F108" t="str">
            <v>0000000000</v>
          </cell>
        </row>
        <row r="108">
          <cell r="H108" t="str">
            <v>1600 Johnson Way</v>
          </cell>
        </row>
        <row r="108">
          <cell r="K108" t="str">
            <v>New Castle</v>
          </cell>
          <cell r="L108" t="str">
            <v>DE</v>
          </cell>
          <cell r="M108" t="str">
            <v>US</v>
          </cell>
          <cell r="N108" t="str">
            <v>19720</v>
          </cell>
        </row>
        <row r="109">
          <cell r="A109" t="str">
            <v>PHL7</v>
          </cell>
          <cell r="B109" t="str">
            <v>PHL7</v>
          </cell>
          <cell r="C109" t="str">
            <v>PHL7</v>
          </cell>
          <cell r="D109" t="str">
            <v>PHL7</v>
          </cell>
          <cell r="E109" t="str">
            <v>AMAZON</v>
          </cell>
          <cell r="F109" t="str">
            <v>0000000000</v>
          </cell>
        </row>
        <row r="109">
          <cell r="H109" t="str">
            <v>560 Merrimac Ave</v>
          </cell>
        </row>
        <row r="109">
          <cell r="K109" t="str">
            <v>Middletown</v>
          </cell>
          <cell r="L109" t="str">
            <v>DE</v>
          </cell>
          <cell r="M109" t="str">
            <v>US</v>
          </cell>
          <cell r="N109" t="str">
            <v>19709</v>
          </cell>
        </row>
        <row r="110">
          <cell r="A110" t="str">
            <v>PHL8</v>
          </cell>
          <cell r="B110" t="str">
            <v>PHL8</v>
          </cell>
          <cell r="C110" t="str">
            <v>PHL8</v>
          </cell>
          <cell r="D110" t="str">
            <v>PHL8</v>
          </cell>
          <cell r="E110" t="str">
            <v>AMAZON</v>
          </cell>
          <cell r="F110" t="str">
            <v>0000000000</v>
          </cell>
        </row>
        <row r="110">
          <cell r="H110" t="str">
            <v>727 N Broad St</v>
          </cell>
        </row>
        <row r="110">
          <cell r="K110" t="str">
            <v>Middletown</v>
          </cell>
          <cell r="L110" t="str">
            <v>DE</v>
          </cell>
          <cell r="M110" t="str">
            <v>US</v>
          </cell>
          <cell r="N110" t="str">
            <v>19709</v>
          </cell>
        </row>
        <row r="112">
          <cell r="A112" t="str">
            <v>PIT1</v>
          </cell>
          <cell r="B112" t="str">
            <v>PIT1</v>
          </cell>
          <cell r="C112" t="str">
            <v>PIT1</v>
          </cell>
          <cell r="D112" t="str">
            <v>PIT1</v>
          </cell>
          <cell r="E112" t="str">
            <v>AMAZON</v>
          </cell>
          <cell r="F112" t="str">
            <v>0000000000</v>
          </cell>
        </row>
        <row r="112">
          <cell r="H112" t="str">
            <v>2250 Roswell Drive</v>
          </cell>
        </row>
        <row r="112">
          <cell r="K112" t="str">
            <v>Pittsburgh</v>
          </cell>
          <cell r="L112" t="str">
            <v>PA</v>
          </cell>
          <cell r="M112" t="str">
            <v>US</v>
          </cell>
          <cell r="N112" t="str">
            <v>15205</v>
          </cell>
        </row>
        <row r="113">
          <cell r="A113" t="str">
            <v>RDU1</v>
          </cell>
          <cell r="B113" t="str">
            <v>RDU1</v>
          </cell>
          <cell r="C113" t="str">
            <v>RDU1</v>
          </cell>
          <cell r="D113" t="str">
            <v>RDU1</v>
          </cell>
          <cell r="E113" t="str">
            <v>AMAZON</v>
          </cell>
          <cell r="F113" t="str">
            <v>0000000000</v>
          </cell>
        </row>
        <row r="113">
          <cell r="H113" t="str">
            <v>4851 Jones Sausage Rd</v>
          </cell>
        </row>
        <row r="113">
          <cell r="K113" t="str">
            <v>GARNER</v>
          </cell>
          <cell r="L113" t="str">
            <v>NC</v>
          </cell>
          <cell r="M113" t="str">
            <v>US</v>
          </cell>
          <cell r="N113" t="str">
            <v>27529-9438</v>
          </cell>
        </row>
        <row r="114">
          <cell r="A114" t="str">
            <v>RNO1</v>
          </cell>
          <cell r="B114" t="str">
            <v>RNO1</v>
          </cell>
          <cell r="C114" t="str">
            <v>RNO1</v>
          </cell>
          <cell r="D114" t="str">
            <v>RNO1</v>
          </cell>
          <cell r="E114" t="str">
            <v>AMAZON</v>
          </cell>
          <cell r="F114" t="str">
            <v>0000000000</v>
          </cell>
        </row>
        <row r="114">
          <cell r="H114" t="str">
            <v>1600 East Newlands RD</v>
          </cell>
        </row>
        <row r="114">
          <cell r="K114" t="str">
            <v>Fernley</v>
          </cell>
          <cell r="L114" t="str">
            <v>NV</v>
          </cell>
          <cell r="M114" t="str">
            <v>US</v>
          </cell>
          <cell r="N114" t="str">
            <v>89408</v>
          </cell>
        </row>
        <row r="115">
          <cell r="A115" t="str">
            <v>RNO2</v>
          </cell>
          <cell r="B115" t="str">
            <v>RNO2</v>
          </cell>
          <cell r="C115" t="str">
            <v>RNO2</v>
          </cell>
          <cell r="D115" t="str">
            <v>RNO2</v>
          </cell>
          <cell r="E115" t="str">
            <v>AMAZON</v>
          </cell>
          <cell r="F115" t="str">
            <v>0000000000</v>
          </cell>
        </row>
        <row r="115">
          <cell r="H115" t="str">
            <v>8000 North Virginia Street</v>
          </cell>
        </row>
        <row r="115">
          <cell r="K115" t="str">
            <v>Reno</v>
          </cell>
          <cell r="L115" t="str">
            <v>NV</v>
          </cell>
          <cell r="M115" t="str">
            <v>US</v>
          </cell>
          <cell r="N115" t="str">
            <v>85906</v>
          </cell>
        </row>
        <row r="116">
          <cell r="A116" t="str">
            <v>SAM1</v>
          </cell>
          <cell r="B116" t="str">
            <v>SAM1</v>
          </cell>
          <cell r="C116" t="str">
            <v>SAM1</v>
          </cell>
          <cell r="D116" t="str">
            <v>SAM1</v>
          </cell>
          <cell r="E116" t="str">
            <v>AMAZON</v>
          </cell>
          <cell r="F116" t="str">
            <v>0000000000</v>
          </cell>
        </row>
        <row r="116">
          <cell r="H116" t="str">
            <v>749 South Lemon Avenue</v>
          </cell>
        </row>
        <row r="116">
          <cell r="K116" t="str">
            <v>walnut</v>
          </cell>
          <cell r="L116" t="str">
            <v>CA</v>
          </cell>
          <cell r="M116" t="str">
            <v>US</v>
          </cell>
          <cell r="N116" t="str">
            <v>91789</v>
          </cell>
        </row>
        <row r="117">
          <cell r="A117" t="str">
            <v>SAT2</v>
          </cell>
          <cell r="B117" t="str">
            <v>SAT2</v>
          </cell>
          <cell r="C117" t="str">
            <v>SAT2</v>
          </cell>
          <cell r="D117" t="str">
            <v>SAT2</v>
          </cell>
          <cell r="E117" t="str">
            <v>AMAZON</v>
          </cell>
          <cell r="F117" t="str">
            <v>0000000000</v>
          </cell>
        </row>
        <row r="117">
          <cell r="H117" t="str">
            <v>1401 E McCarty Lane</v>
          </cell>
        </row>
        <row r="117">
          <cell r="K117" t="str">
            <v>San Marcos</v>
          </cell>
          <cell r="L117" t="str">
            <v>TX</v>
          </cell>
          <cell r="M117" t="str">
            <v>US</v>
          </cell>
          <cell r="N117" t="str">
            <v>78666-8969</v>
          </cell>
        </row>
        <row r="118">
          <cell r="A118" t="str">
            <v>SBD3</v>
          </cell>
          <cell r="B118" t="str">
            <v>SBD3</v>
          </cell>
          <cell r="C118" t="str">
            <v>SBD3</v>
          </cell>
          <cell r="D118" t="str">
            <v>SBD3</v>
          </cell>
          <cell r="E118" t="str">
            <v>AMAZON</v>
          </cell>
          <cell r="F118" t="str">
            <v>0000000000</v>
          </cell>
        </row>
        <row r="118">
          <cell r="H118" t="str">
            <v>5990 N Cajon Blvd</v>
          </cell>
        </row>
        <row r="118">
          <cell r="K118" t="str">
            <v>SAN BERNARDINO</v>
          </cell>
          <cell r="L118" t="str">
            <v>CA</v>
          </cell>
          <cell r="M118" t="str">
            <v>US</v>
          </cell>
          <cell r="N118" t="str">
            <v>92407-1833</v>
          </cell>
        </row>
        <row r="119">
          <cell r="A119" t="str">
            <v>SDF1</v>
          </cell>
          <cell r="B119" t="str">
            <v>SDF1</v>
          </cell>
          <cell r="C119" t="str">
            <v>SDF1</v>
          </cell>
          <cell r="D119" t="str">
            <v>SDF1</v>
          </cell>
          <cell r="E119" t="str">
            <v>AMAZON</v>
          </cell>
          <cell r="F119" t="str">
            <v>0000000000</v>
          </cell>
        </row>
        <row r="119">
          <cell r="H119" t="str">
            <v>1050 South Columbia</v>
          </cell>
        </row>
        <row r="119">
          <cell r="K119" t="str">
            <v>Campbellsville</v>
          </cell>
          <cell r="L119" t="str">
            <v>KY</v>
          </cell>
          <cell r="M119" t="str">
            <v>US</v>
          </cell>
          <cell r="N119" t="str">
            <v>42718-2454</v>
          </cell>
        </row>
        <row r="120">
          <cell r="A120" t="str">
            <v>SDF2</v>
          </cell>
          <cell r="B120" t="str">
            <v>SDF2</v>
          </cell>
          <cell r="C120" t="str">
            <v>SDF2</v>
          </cell>
          <cell r="D120" t="str">
            <v>SDF2</v>
          </cell>
          <cell r="E120" t="str">
            <v>AMAZON</v>
          </cell>
          <cell r="F120" t="str">
            <v>0000000000</v>
          </cell>
        </row>
        <row r="120">
          <cell r="H120" t="str">
            <v>4360 Robards Ln</v>
          </cell>
        </row>
        <row r="120">
          <cell r="K120" t="str">
            <v>Watterson Park</v>
          </cell>
          <cell r="L120" t="str">
            <v>KY</v>
          </cell>
          <cell r="M120" t="str">
            <v>US</v>
          </cell>
          <cell r="N120" t="str">
            <v>40218</v>
          </cell>
        </row>
        <row r="121">
          <cell r="A121" t="str">
            <v>SDF6</v>
          </cell>
          <cell r="B121" t="str">
            <v>SDF6</v>
          </cell>
          <cell r="C121" t="str">
            <v>SDF6</v>
          </cell>
          <cell r="D121" t="str">
            <v>SDF6</v>
          </cell>
          <cell r="E121" t="str">
            <v>AMAZON</v>
          </cell>
          <cell r="F121" t="str">
            <v>0000000000</v>
          </cell>
        </row>
        <row r="121">
          <cell r="H121" t="str">
            <v>271 Omega Pkwy</v>
          </cell>
        </row>
        <row r="121">
          <cell r="K121" t="str">
            <v>Shepherdsville</v>
          </cell>
          <cell r="L121" t="str">
            <v>KY</v>
          </cell>
          <cell r="M121" t="str">
            <v>US</v>
          </cell>
          <cell r="N121" t="str">
            <v>40165</v>
          </cell>
        </row>
        <row r="122">
          <cell r="A122" t="str">
            <v>SDF7</v>
          </cell>
          <cell r="B122" t="str">
            <v>SDF7</v>
          </cell>
          <cell r="C122" t="str">
            <v>SDF7</v>
          </cell>
          <cell r="D122" t="str">
            <v>SDF7</v>
          </cell>
          <cell r="E122" t="str">
            <v>AMAZON</v>
          </cell>
          <cell r="F122" t="str">
            <v>0000000000</v>
          </cell>
        </row>
        <row r="122">
          <cell r="H122" t="str">
            <v>300 Omicron Court</v>
          </cell>
        </row>
        <row r="122">
          <cell r="K122" t="str">
            <v>Shepherdsville</v>
          </cell>
          <cell r="L122" t="str">
            <v>KY</v>
          </cell>
          <cell r="M122" t="str">
            <v>US</v>
          </cell>
          <cell r="N122" t="str">
            <v>40165</v>
          </cell>
        </row>
        <row r="123">
          <cell r="A123" t="str">
            <v>SDF8</v>
          </cell>
          <cell r="B123" t="str">
            <v>SDF8</v>
          </cell>
          <cell r="C123" t="str">
            <v>SDF8</v>
          </cell>
          <cell r="D123" t="str">
            <v>SDF8</v>
          </cell>
          <cell r="E123" t="str">
            <v>AMAZON</v>
          </cell>
          <cell r="F123" t="str">
            <v>0000000000</v>
          </cell>
        </row>
        <row r="123">
          <cell r="H123" t="str">
            <v>900 Patrol Rd</v>
          </cell>
        </row>
        <row r="123">
          <cell r="K123" t="str">
            <v>Jeffersonville</v>
          </cell>
          <cell r="L123" t="str">
            <v>IN</v>
          </cell>
          <cell r="M123" t="str">
            <v>US</v>
          </cell>
          <cell r="N123" t="str">
            <v>47130-7761</v>
          </cell>
        </row>
        <row r="124">
          <cell r="A124" t="str">
            <v>SDF9</v>
          </cell>
          <cell r="B124" t="str">
            <v>SDF9</v>
          </cell>
          <cell r="C124" t="str">
            <v>SDF9</v>
          </cell>
          <cell r="D124" t="str">
            <v>SDF9</v>
          </cell>
          <cell r="E124" t="str">
            <v>AMAZON</v>
          </cell>
          <cell r="F124" t="str">
            <v>0000000000</v>
          </cell>
        </row>
        <row r="124">
          <cell r="H124" t="str">
            <v>100 W. Thomas P. Echols Lane</v>
          </cell>
        </row>
        <row r="124">
          <cell r="K124" t="str">
            <v>Shepherdsville</v>
          </cell>
          <cell r="L124" t="str">
            <v>KY</v>
          </cell>
          <cell r="M124" t="str">
            <v>US</v>
          </cell>
          <cell r="N124" t="str">
            <v>40165</v>
          </cell>
        </row>
        <row r="125">
          <cell r="A125" t="str">
            <v>SEA6</v>
          </cell>
          <cell r="B125" t="str">
            <v>SEA6</v>
          </cell>
          <cell r="C125" t="str">
            <v>SEA6</v>
          </cell>
          <cell r="D125" t="str">
            <v>SEA6</v>
          </cell>
          <cell r="E125" t="str">
            <v>AMAZON</v>
          </cell>
          <cell r="F125" t="str">
            <v>0000000000</v>
          </cell>
        </row>
        <row r="125">
          <cell r="H125" t="str">
            <v>2646 Rainier Ave.</v>
          </cell>
        </row>
        <row r="125">
          <cell r="K125" t="str">
            <v>South Seattle</v>
          </cell>
          <cell r="L125" t="str">
            <v>WA</v>
          </cell>
          <cell r="M125" t="str">
            <v>US</v>
          </cell>
          <cell r="N125" t="str">
            <v>98144</v>
          </cell>
        </row>
        <row r="126">
          <cell r="A126" t="str">
            <v>SEA8</v>
          </cell>
          <cell r="B126" t="str">
            <v>SEA8</v>
          </cell>
          <cell r="C126" t="str">
            <v>SEA8</v>
          </cell>
          <cell r="D126" t="str">
            <v>SEA8</v>
          </cell>
          <cell r="E126" t="str">
            <v>AMAZON</v>
          </cell>
          <cell r="F126" t="str">
            <v>0000000000</v>
          </cell>
        </row>
        <row r="126">
          <cell r="H126" t="str">
            <v>1475 124th Avenue</v>
          </cell>
        </row>
        <row r="126">
          <cell r="K126" t="str">
            <v>Northeast Bellevue</v>
          </cell>
          <cell r="L126" t="str">
            <v>WA</v>
          </cell>
          <cell r="M126" t="str">
            <v>US</v>
          </cell>
          <cell r="N126" t="str">
            <v>98005</v>
          </cell>
        </row>
        <row r="127">
          <cell r="A127" t="str">
            <v>SJC8</v>
          </cell>
          <cell r="B127" t="str">
            <v>SJC8</v>
          </cell>
          <cell r="C127" t="str">
            <v>SJC8</v>
          </cell>
          <cell r="D127" t="str">
            <v>SJC8</v>
          </cell>
          <cell r="E127" t="str">
            <v>AMAZON</v>
          </cell>
          <cell r="F127" t="str">
            <v>0000000000</v>
          </cell>
        </row>
        <row r="127">
          <cell r="H127" t="str">
            <v>46724 Lakeview Blvd</v>
          </cell>
        </row>
        <row r="127">
          <cell r="K127" t="str">
            <v>Fremont</v>
          </cell>
          <cell r="L127" t="str">
            <v>CA</v>
          </cell>
          <cell r="M127" t="str">
            <v>US</v>
          </cell>
          <cell r="N127" t="str">
            <v>94538</v>
          </cell>
        </row>
        <row r="128">
          <cell r="A128" t="str">
            <v>SLA5</v>
          </cell>
          <cell r="B128" t="str">
            <v>SLA5</v>
          </cell>
          <cell r="C128" t="str">
            <v>SLA5</v>
          </cell>
          <cell r="D128" t="str">
            <v>SLA5</v>
          </cell>
          <cell r="E128" t="str">
            <v>AMAZON</v>
          </cell>
          <cell r="F128" t="str">
            <v>0000000000</v>
          </cell>
        </row>
        <row r="128">
          <cell r="H128" t="str">
            <v>5250 Goodman Rd</v>
          </cell>
        </row>
        <row r="128">
          <cell r="K128" t="str">
            <v>Eastvale</v>
          </cell>
          <cell r="L128" t="str">
            <v>CA</v>
          </cell>
          <cell r="M128" t="str">
            <v>US</v>
          </cell>
          <cell r="N128" t="str">
            <v>91752-5088</v>
          </cell>
        </row>
        <row r="129">
          <cell r="A129" t="str">
            <v>SLC1</v>
          </cell>
          <cell r="B129" t="str">
            <v>SLC1</v>
          </cell>
          <cell r="C129" t="str">
            <v>SLC1</v>
          </cell>
          <cell r="D129" t="str">
            <v>SLC1</v>
          </cell>
          <cell r="E129" t="str">
            <v>AMAZON</v>
          </cell>
          <cell r="F129" t="str">
            <v>0000000000</v>
          </cell>
        </row>
        <row r="129">
          <cell r="H129" t="str">
            <v>777 N 5600 W</v>
          </cell>
        </row>
        <row r="129">
          <cell r="K129" t="str">
            <v>SALT LAKE CITY</v>
          </cell>
          <cell r="L129" t="str">
            <v>UT</v>
          </cell>
          <cell r="M129" t="str">
            <v>US</v>
          </cell>
          <cell r="N129" t="str">
            <v>84116</v>
          </cell>
        </row>
        <row r="130">
          <cell r="A130" t="str">
            <v>SMI1</v>
          </cell>
          <cell r="B130" t="str">
            <v>SMI1</v>
          </cell>
          <cell r="C130" t="str">
            <v>SMI1</v>
          </cell>
          <cell r="D130" t="str">
            <v>SMI1</v>
          </cell>
          <cell r="E130" t="str">
            <v>AMAZON</v>
          </cell>
          <cell r="F130" t="str">
            <v>0000000000</v>
          </cell>
        </row>
        <row r="130">
          <cell r="H130" t="str">
            <v>1400 E 10 MILE RD Suite 190</v>
          </cell>
        </row>
        <row r="130">
          <cell r="K130" t="str">
            <v>HAZEL PARK</v>
          </cell>
          <cell r="L130" t="str">
            <v>MI</v>
          </cell>
          <cell r="M130" t="str">
            <v>US</v>
          </cell>
          <cell r="N130" t="str">
            <v>48030-1263</v>
          </cell>
        </row>
        <row r="132">
          <cell r="A132" t="str">
            <v>STL8</v>
          </cell>
          <cell r="B132" t="str">
            <v>STL8</v>
          </cell>
          <cell r="C132" t="str">
            <v>STL8</v>
          </cell>
          <cell r="D132" t="str">
            <v>STL8</v>
          </cell>
          <cell r="E132" t="str">
            <v>AMAZON</v>
          </cell>
          <cell r="F132" t="str">
            <v>0000000000</v>
          </cell>
        </row>
        <row r="132">
          <cell r="H132" t="str">
            <v>4000 Premier Parkway SAINT PETERS</v>
          </cell>
        </row>
        <row r="132">
          <cell r="K132" t="str">
            <v>SAINT PETERS</v>
          </cell>
          <cell r="L132" t="str">
            <v>MO</v>
          </cell>
          <cell r="M132" t="str">
            <v>US</v>
          </cell>
          <cell r="N132" t="str">
            <v>63376-3447</v>
          </cell>
        </row>
        <row r="133">
          <cell r="A133" t="str">
            <v>TFC1</v>
          </cell>
          <cell r="B133" t="str">
            <v>TFC1</v>
          </cell>
          <cell r="C133" t="str">
            <v>TFC1</v>
          </cell>
          <cell r="D133" t="str">
            <v>TFC1</v>
          </cell>
          <cell r="E133" t="str">
            <v>AMAZON</v>
          </cell>
          <cell r="F133" t="str">
            <v>0000000000</v>
          </cell>
        </row>
        <row r="133">
          <cell r="H133" t="str">
            <v>5050 West Mohave St</v>
          </cell>
        </row>
        <row r="133">
          <cell r="K133" t="str">
            <v>Phoenix</v>
          </cell>
          <cell r="L133" t="str">
            <v>AZ</v>
          </cell>
          <cell r="M133" t="str">
            <v>US</v>
          </cell>
          <cell r="N133" t="str">
            <v>85043</v>
          </cell>
        </row>
        <row r="134">
          <cell r="A134" t="str">
            <v>TPA1</v>
          </cell>
          <cell r="B134" t="str">
            <v>TPA1</v>
          </cell>
          <cell r="C134" t="str">
            <v>TPA1</v>
          </cell>
          <cell r="D134" t="str">
            <v>TPA1</v>
          </cell>
          <cell r="E134" t="str">
            <v>AMAZON</v>
          </cell>
          <cell r="F134" t="str">
            <v>0000000000</v>
          </cell>
        </row>
        <row r="134">
          <cell r="H134" t="str">
            <v>3350 Laurel Ridge Ave.</v>
          </cell>
        </row>
        <row r="134">
          <cell r="K134" t="str">
            <v>Ruskin</v>
          </cell>
          <cell r="L134" t="str">
            <v>FL</v>
          </cell>
          <cell r="M134" t="str">
            <v>US</v>
          </cell>
          <cell r="N134" t="str">
            <v>33570</v>
          </cell>
        </row>
        <row r="135">
          <cell r="A135" t="str">
            <v>TPA6</v>
          </cell>
          <cell r="B135" t="str">
            <v>TPA6</v>
          </cell>
          <cell r="C135" t="str">
            <v>TPA6</v>
          </cell>
          <cell r="D135" t="str">
            <v>TPA6</v>
          </cell>
          <cell r="E135" t="str">
            <v>AMAZON</v>
          </cell>
          <cell r="F135" t="str">
            <v>0000000000</v>
          </cell>
        </row>
        <row r="135">
          <cell r="H135" t="str">
            <v>3400 NW 35th St Rd</v>
          </cell>
        </row>
        <row r="135">
          <cell r="K135" t="str">
            <v>OCALA</v>
          </cell>
          <cell r="L135" t="str">
            <v>FL</v>
          </cell>
          <cell r="M135" t="str">
            <v>US</v>
          </cell>
          <cell r="N135" t="str">
            <v>34475-4625</v>
          </cell>
        </row>
        <row r="136">
          <cell r="A136" t="str">
            <v>TUL1</v>
          </cell>
          <cell r="B136" t="str">
            <v>TUL1</v>
          </cell>
          <cell r="C136" t="str">
            <v>TUL1</v>
          </cell>
          <cell r="D136" t="str">
            <v>TUL1</v>
          </cell>
          <cell r="E136" t="str">
            <v>AMAZON</v>
          </cell>
          <cell r="F136" t="str">
            <v>0000000000</v>
          </cell>
        </row>
        <row r="136">
          <cell r="H136" t="str">
            <v>2654 North Highway 169</v>
          </cell>
        </row>
        <row r="136">
          <cell r="K136" t="str">
            <v>Coffeyville</v>
          </cell>
          <cell r="L136" t="str">
            <v>KS</v>
          </cell>
          <cell r="M136" t="str">
            <v>US</v>
          </cell>
          <cell r="N136" t="str">
            <v>67337</v>
          </cell>
        </row>
        <row r="137">
          <cell r="A137" t="str">
            <v>TUS2</v>
          </cell>
          <cell r="B137" t="str">
            <v>TUS2</v>
          </cell>
          <cell r="C137" t="str">
            <v>TUS2</v>
          </cell>
          <cell r="D137" t="str">
            <v>TUS2</v>
          </cell>
          <cell r="E137" t="str">
            <v>AMAZON</v>
          </cell>
          <cell r="F137" t="str">
            <v>0000000000</v>
          </cell>
        </row>
        <row r="137">
          <cell r="H137" t="str">
            <v>6701 S KOLB RD</v>
          </cell>
        </row>
        <row r="137">
          <cell r="K137" t="str">
            <v>TUCSON</v>
          </cell>
          <cell r="L137" t="str">
            <v>AZ</v>
          </cell>
          <cell r="M137" t="str">
            <v>US</v>
          </cell>
          <cell r="N137" t="str">
            <v>85756-9271</v>
          </cell>
        </row>
        <row r="138">
          <cell r="A138" t="str">
            <v>VUAT</v>
          </cell>
          <cell r="B138" t="str">
            <v>VUAT</v>
          </cell>
          <cell r="C138" t="str">
            <v>VUAT</v>
          </cell>
          <cell r="D138" t="str">
            <v>VUAT</v>
          </cell>
          <cell r="E138" t="str">
            <v>AMAZON</v>
          </cell>
          <cell r="F138" t="str">
            <v>0000000000</v>
          </cell>
        </row>
        <row r="138">
          <cell r="H138" t="str">
            <v>6855 Shannon Pkwy</v>
          </cell>
        </row>
        <row r="138">
          <cell r="K138" t="str">
            <v>UNION CITY</v>
          </cell>
          <cell r="L138" t="str">
            <v>GA</v>
          </cell>
          <cell r="M138" t="str">
            <v>US</v>
          </cell>
          <cell r="N138" t="str">
            <v>30291</v>
          </cell>
        </row>
        <row r="139">
          <cell r="A139" t="str">
            <v>VUBA</v>
          </cell>
          <cell r="B139" t="str">
            <v>VUBA</v>
          </cell>
          <cell r="C139" t="str">
            <v>VUBA</v>
          </cell>
          <cell r="D139" t="str">
            <v>VUBA</v>
          </cell>
          <cell r="E139" t="str">
            <v>AMAZON</v>
          </cell>
          <cell r="F139" t="str">
            <v>0000000000</v>
          </cell>
        </row>
        <row r="139">
          <cell r="H139" t="str">
            <v>1000 Keystone Industrial Park</v>
          </cell>
        </row>
        <row r="139">
          <cell r="K139" t="str">
            <v>Scranton</v>
          </cell>
          <cell r="L139" t="str">
            <v>PA</v>
          </cell>
          <cell r="M139" t="str">
            <v>US</v>
          </cell>
          <cell r="N139" t="str">
            <v>18512</v>
          </cell>
        </row>
        <row r="140">
          <cell r="A140" t="str">
            <v>VUGA</v>
          </cell>
          <cell r="B140" t="str">
            <v>VUGA</v>
          </cell>
          <cell r="C140" t="str">
            <v>VUGA</v>
          </cell>
          <cell r="D140" t="str">
            <v>VUGA</v>
          </cell>
          <cell r="E140" t="str">
            <v>AMAZON</v>
          </cell>
          <cell r="F140" t="str">
            <v>0000000000</v>
          </cell>
        </row>
        <row r="140">
          <cell r="H140" t="str">
            <v>508 Delaware Avenue West</v>
          </cell>
        </row>
        <row r="140">
          <cell r="K140" t="str">
            <v>Pittston</v>
          </cell>
          <cell r="L140" t="str">
            <v>PA</v>
          </cell>
          <cell r="M140" t="str">
            <v>US</v>
          </cell>
          <cell r="N140" t="str">
            <v>18643</v>
          </cell>
        </row>
        <row r="141">
          <cell r="A141" t="str">
            <v>XEW2</v>
          </cell>
          <cell r="B141" t="str">
            <v>XEW2</v>
          </cell>
          <cell r="C141" t="str">
            <v>XEW2</v>
          </cell>
          <cell r="D141" t="str">
            <v>XEW2</v>
          </cell>
          <cell r="E141" t="str">
            <v>AMAZON</v>
          </cell>
          <cell r="F141" t="str">
            <v>0000000000</v>
          </cell>
        </row>
        <row r="141">
          <cell r="H141" t="str">
            <v>6855 SHANNON PKWY</v>
          </cell>
        </row>
        <row r="141">
          <cell r="K141" t="str">
            <v>UNION CITY</v>
          </cell>
          <cell r="L141" t="str">
            <v>GA</v>
          </cell>
          <cell r="M141" t="str">
            <v>US</v>
          </cell>
          <cell r="N141" t="str">
            <v>30291-2009</v>
          </cell>
        </row>
        <row r="142">
          <cell r="A142" t="str">
            <v>XIX6</v>
          </cell>
          <cell r="B142" t="str">
            <v>XIX6</v>
          </cell>
          <cell r="C142" t="str">
            <v>XIX6</v>
          </cell>
          <cell r="D142" t="str">
            <v>XIX6</v>
          </cell>
          <cell r="E142" t="str">
            <v>AMAZON</v>
          </cell>
          <cell r="F142" t="str">
            <v>0000000000</v>
          </cell>
        </row>
        <row r="142">
          <cell r="H142" t="str">
            <v>10681 Production Ave</v>
          </cell>
        </row>
        <row r="142">
          <cell r="K142" t="str">
            <v>Fontana</v>
          </cell>
          <cell r="L142" t="str">
            <v>CA</v>
          </cell>
          <cell r="M142" t="str">
            <v>US</v>
          </cell>
          <cell r="N142" t="str">
            <v>92337-8006</v>
          </cell>
        </row>
        <row r="143">
          <cell r="A143" t="str">
            <v>XIX7</v>
          </cell>
          <cell r="B143" t="str">
            <v>XIX7</v>
          </cell>
          <cell r="C143" t="str">
            <v>XIX7</v>
          </cell>
          <cell r="D143" t="str">
            <v>XIX7</v>
          </cell>
          <cell r="E143" t="str">
            <v>AMAZON</v>
          </cell>
          <cell r="F143" t="str">
            <v>0000000000</v>
          </cell>
        </row>
        <row r="143">
          <cell r="H143" t="str">
            <v>555E ORANGE SHOW RD</v>
          </cell>
        </row>
        <row r="143">
          <cell r="K143" t="str">
            <v>SAN BERNARDINO</v>
          </cell>
          <cell r="L143" t="str">
            <v>CA</v>
          </cell>
          <cell r="M143" t="str">
            <v>US</v>
          </cell>
          <cell r="N143" t="str">
            <v>92408</v>
          </cell>
        </row>
        <row r="144">
          <cell r="A144" t="str">
            <v>XUSB</v>
          </cell>
          <cell r="B144" t="str">
            <v>XUSB</v>
          </cell>
          <cell r="C144" t="str">
            <v>XUSB</v>
          </cell>
          <cell r="D144" t="str">
            <v>XUSB</v>
          </cell>
          <cell r="E144" t="str">
            <v>AMAZON</v>
          </cell>
          <cell r="F144" t="str">
            <v>0000000000</v>
          </cell>
        </row>
        <row r="144">
          <cell r="H144" t="str">
            <v>14900 Frye Rd.</v>
          </cell>
        </row>
        <row r="144">
          <cell r="K144" t="str">
            <v>Fort Worth</v>
          </cell>
          <cell r="L144" t="str">
            <v>TX</v>
          </cell>
          <cell r="M144" t="str">
            <v>US</v>
          </cell>
          <cell r="N144" t="str">
            <v>76155</v>
          </cell>
        </row>
        <row r="145">
          <cell r="A145" t="str">
            <v>XUSC</v>
          </cell>
          <cell r="B145" t="str">
            <v>XUSC</v>
          </cell>
          <cell r="C145" t="str">
            <v>XUSC</v>
          </cell>
          <cell r="D145" t="str">
            <v>XUSC</v>
          </cell>
          <cell r="E145" t="str">
            <v>AMAZON</v>
          </cell>
          <cell r="F145" t="str">
            <v>0000000000</v>
          </cell>
        </row>
        <row r="145">
          <cell r="H145" t="str">
            <v>40 Logistics Drive</v>
          </cell>
        </row>
        <row r="145">
          <cell r="K145" t="str">
            <v>Carlisle</v>
          </cell>
          <cell r="L145" t="str">
            <v>PA</v>
          </cell>
          <cell r="M145" t="str">
            <v>US</v>
          </cell>
          <cell r="N145" t="str">
            <v>17013</v>
          </cell>
        </row>
        <row r="146">
          <cell r="A146" t="str">
            <v>XUSD</v>
          </cell>
          <cell r="B146" t="str">
            <v>XUSD</v>
          </cell>
          <cell r="C146" t="str">
            <v>XUSD</v>
          </cell>
          <cell r="D146" t="str">
            <v>XUSD</v>
          </cell>
          <cell r="E146" t="str">
            <v>AMAZON</v>
          </cell>
          <cell r="F146" t="str">
            <v>0000000000</v>
          </cell>
        </row>
        <row r="146">
          <cell r="H146" t="str">
            <v>1909 Zephyr St</v>
          </cell>
        </row>
        <row r="146">
          <cell r="K146" t="str">
            <v>Stockton</v>
          </cell>
          <cell r="L146" t="str">
            <v>CA</v>
          </cell>
          <cell r="M146" t="str">
            <v>US</v>
          </cell>
          <cell r="N146" t="str">
            <v>95206</v>
          </cell>
        </row>
        <row r="147">
          <cell r="A147" t="str">
            <v>XUSE</v>
          </cell>
          <cell r="B147" t="str">
            <v>XUSE</v>
          </cell>
          <cell r="C147" t="str">
            <v>XUSE</v>
          </cell>
          <cell r="D147" t="str">
            <v>XUSE</v>
          </cell>
          <cell r="E147" t="str">
            <v>AMAZON</v>
          </cell>
          <cell r="F147" t="str">
            <v>0000000000</v>
          </cell>
        </row>
        <row r="147">
          <cell r="H147" t="str">
            <v>5100 S Indianapolis Rd</v>
          </cell>
        </row>
        <row r="147">
          <cell r="K147" t="str">
            <v>Whitestown</v>
          </cell>
          <cell r="L147" t="str">
            <v>IN</v>
          </cell>
          <cell r="M147" t="str">
            <v>US</v>
          </cell>
          <cell r="N147" t="str">
            <v>46075</v>
          </cell>
        </row>
        <row r="148">
          <cell r="A148" t="str">
            <v>TUL2</v>
          </cell>
          <cell r="B148" t="str">
            <v>TUL2</v>
          </cell>
          <cell r="C148" t="str">
            <v>TUL2</v>
          </cell>
          <cell r="D148" t="str">
            <v>TUL2</v>
          </cell>
          <cell r="E148" t="str">
            <v>AMAZON</v>
          </cell>
          <cell r="F148" t="str">
            <v>0000000000</v>
          </cell>
        </row>
        <row r="148">
          <cell r="H148" t="str">
            <v>4040 North 125th East Avenue</v>
          </cell>
        </row>
        <row r="148">
          <cell r="K148" t="str">
            <v>TULSA</v>
          </cell>
          <cell r="L148" t="str">
            <v>OK</v>
          </cell>
          <cell r="M148" t="str">
            <v>US</v>
          </cell>
          <cell r="N148" t="str">
            <v>74116-2102</v>
          </cell>
        </row>
        <row r="150">
          <cell r="A150" t="str">
            <v>AFW1</v>
          </cell>
          <cell r="B150" t="str">
            <v>AFW1</v>
          </cell>
          <cell r="C150" t="str">
            <v>AFW1</v>
          </cell>
          <cell r="D150" t="str">
            <v>AFW1</v>
          </cell>
          <cell r="E150" t="str">
            <v>AMAZON</v>
          </cell>
          <cell r="F150" t="str">
            <v>0000000000</v>
          </cell>
        </row>
        <row r="150">
          <cell r="H150" t="str">
            <v>1851 NE LOOP 820</v>
          </cell>
        </row>
        <row r="150">
          <cell r="K150" t="str">
            <v>FORT WORTH</v>
          </cell>
          <cell r="L150" t="str">
            <v>TX</v>
          </cell>
          <cell r="M150" t="str">
            <v>US</v>
          </cell>
          <cell r="N150" t="str">
            <v>76131-1694</v>
          </cell>
        </row>
        <row r="151">
          <cell r="A151" t="str">
            <v>GEG1</v>
          </cell>
          <cell r="B151" t="str">
            <v>GEG1</v>
          </cell>
          <cell r="C151" t="str">
            <v>GEG1</v>
          </cell>
          <cell r="D151" t="str">
            <v>GEG1</v>
          </cell>
          <cell r="E151" t="str">
            <v>AMAZON</v>
          </cell>
          <cell r="F151" t="str">
            <v>0000000000</v>
          </cell>
        </row>
        <row r="151">
          <cell r="H151" t="str">
            <v>10010 West Geiger Boulevard</v>
          </cell>
        </row>
        <row r="151">
          <cell r="K151" t="str">
            <v>SPOKANE</v>
          </cell>
          <cell r="L151" t="str">
            <v>WA</v>
          </cell>
          <cell r="M151" t="str">
            <v>US</v>
          </cell>
          <cell r="N151" t="str">
            <v>99224-9471</v>
          </cell>
        </row>
        <row r="152">
          <cell r="A152" t="str">
            <v>ORY1</v>
          </cell>
          <cell r="B152" t="str">
            <v>ORY1</v>
          </cell>
          <cell r="C152" t="str">
            <v>ORY1</v>
          </cell>
          <cell r="D152" t="str">
            <v>ORY1</v>
          </cell>
          <cell r="E152" t="str">
            <v>AMAZON</v>
          </cell>
          <cell r="F152" t="str">
            <v>0000000000</v>
          </cell>
        </row>
        <row r="152">
          <cell r="H152" t="str">
            <v>Pole 45,Rue du Champ Rouge1401</v>
          </cell>
        </row>
        <row r="152">
          <cell r="K152" t="str">
            <v>Saran cedex</v>
          </cell>
          <cell r="L152" t="str">
            <v>Loiret</v>
          </cell>
          <cell r="M152" t="str">
            <v>FR</v>
          </cell>
          <cell r="N152" t="str">
            <v>45772</v>
          </cell>
        </row>
        <row r="153">
          <cell r="A153" t="str">
            <v>ORY4</v>
          </cell>
          <cell r="B153" t="str">
            <v>ORY4</v>
          </cell>
          <cell r="C153" t="str">
            <v>ORY4</v>
          </cell>
          <cell r="D153" t="str">
            <v>ORY4</v>
          </cell>
          <cell r="E153" t="str">
            <v>AMAZON</v>
          </cell>
          <cell r="F153" t="str">
            <v>0000000000</v>
          </cell>
        </row>
        <row r="153">
          <cell r="H153" t="str">
            <v>AVENUE DU CENTRE D’ESSAI EN VOL 20</v>
          </cell>
        </row>
        <row r="153">
          <cell r="K153" t="str">
            <v>BRETIGNY SUR ORGE</v>
          </cell>
          <cell r="L153" t="str">
            <v>Essonne</v>
          </cell>
          <cell r="M153" t="str">
            <v>FR</v>
          </cell>
          <cell r="N153" t="str">
            <v>91220</v>
          </cell>
        </row>
        <row r="154">
          <cell r="A154" t="str">
            <v>MRS1</v>
          </cell>
          <cell r="B154" t="str">
            <v>MRS1</v>
          </cell>
          <cell r="C154" t="str">
            <v>MRS1</v>
          </cell>
          <cell r="D154" t="str">
            <v>MRS1</v>
          </cell>
          <cell r="E154" t="str">
            <v>AMAZON</v>
          </cell>
          <cell r="F154" t="str">
            <v>0000000000</v>
          </cell>
        </row>
        <row r="154">
          <cell r="H154" t="str">
            <v>Bâtiment 2 Rue Joseph Lagarde ZAC Les Portes de Provence</v>
          </cell>
        </row>
        <row r="154">
          <cell r="K154" t="str">
            <v>Montélimar</v>
          </cell>
          <cell r="L154" t="str">
            <v>Drôme</v>
          </cell>
          <cell r="M154" t="str">
            <v>FR</v>
          </cell>
          <cell r="N154" t="str">
            <v>26200</v>
          </cell>
        </row>
        <row r="155">
          <cell r="A155" t="str">
            <v>MRS1-26132</v>
          </cell>
          <cell r="B155" t="str">
            <v>MRS1-26132</v>
          </cell>
          <cell r="C155" t="str">
            <v>MRS1-26132</v>
          </cell>
          <cell r="D155" t="str">
            <v>MRS1-26132</v>
          </cell>
          <cell r="E155" t="str">
            <v>AMAZON</v>
          </cell>
          <cell r="F155" t="str">
            <v>0000000000</v>
          </cell>
        </row>
        <row r="155">
          <cell r="H155" t="str">
            <v>Building II ZAC Les Portes de Provence</v>
          </cell>
        </row>
        <row r="155">
          <cell r="K155" t="str">
            <v>MONTELIMAR CEDEX</v>
          </cell>
          <cell r="L155" t="str">
            <v>Drôme</v>
          </cell>
          <cell r="M155" t="str">
            <v>FR</v>
          </cell>
          <cell r="N155" t="str">
            <v>26132</v>
          </cell>
        </row>
        <row r="156">
          <cell r="A156" t="str">
            <v>LYS1</v>
          </cell>
          <cell r="B156" t="str">
            <v>LYS1</v>
          </cell>
          <cell r="C156" t="str">
            <v>LYS1</v>
          </cell>
          <cell r="D156" t="str">
            <v>LYS1</v>
          </cell>
          <cell r="E156" t="str">
            <v>AMAZON</v>
          </cell>
          <cell r="F156" t="str">
            <v>0000000000</v>
          </cell>
        </row>
        <row r="156">
          <cell r="H156" t="str">
            <v>RUE AMAZON, ZAC DU PARC D'ACTIVITES VAL BOURGOGNE 1</v>
          </cell>
        </row>
        <row r="156">
          <cell r="K156" t="str">
            <v>Sevrey</v>
          </cell>
          <cell r="L156" t="str">
            <v>Saône-et-Loire</v>
          </cell>
          <cell r="M156" t="str">
            <v>FR</v>
          </cell>
          <cell r="N156" t="str">
            <v>71100</v>
          </cell>
        </row>
        <row r="157">
          <cell r="A157" t="str">
            <v>LYS1-71311</v>
          </cell>
          <cell r="B157" t="str">
            <v>LYS1-71311</v>
          </cell>
          <cell r="C157" t="str">
            <v>LYS1-71311</v>
          </cell>
          <cell r="D157" t="str">
            <v>LYS1-71311</v>
          </cell>
          <cell r="E157" t="str">
            <v>AMAZON</v>
          </cell>
          <cell r="F157" t="str">
            <v>0000000000</v>
          </cell>
        </row>
        <row r="157">
          <cell r="H157" t="str">
            <v>Distripole Chalon ZAC Val de Bourgogne - rue Amazon 1</v>
          </cell>
        </row>
        <row r="157">
          <cell r="K157" t="str">
            <v>SEVREY CEDEX</v>
          </cell>
          <cell r="L157" t="str">
            <v>Saône-et-Loire</v>
          </cell>
          <cell r="M157" t="str">
            <v>FR</v>
          </cell>
          <cell r="N157" t="str">
            <v>71311</v>
          </cell>
        </row>
        <row r="158">
          <cell r="A158" t="str">
            <v>LIL1</v>
          </cell>
          <cell r="B158" t="str">
            <v>LIL1</v>
          </cell>
          <cell r="C158" t="str">
            <v>LIL1</v>
          </cell>
          <cell r="D158" t="str">
            <v>LIL1</v>
          </cell>
          <cell r="E158" t="str">
            <v>AMAZON</v>
          </cell>
          <cell r="F158" t="str">
            <v>0000000000</v>
          </cell>
        </row>
        <row r="158">
          <cell r="H158" t="str">
            <v>Rue de la Plaine,59553,Lauwin-Planque,Nord-Pas-de-Calais,France</v>
          </cell>
        </row>
        <row r="158">
          <cell r="K158" t="str">
            <v>Lauwin-Planque</v>
          </cell>
          <cell r="L158" t="str">
            <v>Nord</v>
          </cell>
          <cell r="M158" t="str">
            <v>FR</v>
          </cell>
          <cell r="N158" t="str">
            <v>59553</v>
          </cell>
        </row>
        <row r="159">
          <cell r="A159" t="str">
            <v>LIL1-1</v>
          </cell>
          <cell r="B159" t="str">
            <v>LIL1-1</v>
          </cell>
          <cell r="C159" t="str">
            <v>LIL1-1</v>
          </cell>
          <cell r="D159" t="str">
            <v>LIL1-1</v>
          </cell>
          <cell r="E159" t="str">
            <v>AMAZON</v>
          </cell>
          <cell r="F159" t="str">
            <v>0000000000</v>
          </cell>
        </row>
        <row r="159">
          <cell r="H159" t="str">
            <v>1,Rue Amazon</v>
          </cell>
        </row>
        <row r="159">
          <cell r="K159" t="str">
            <v>Lauwin-Planque</v>
          </cell>
          <cell r="L159" t="str">
            <v>CEDEX</v>
          </cell>
          <cell r="M159" t="str">
            <v>FR</v>
          </cell>
          <cell r="N159" t="str">
            <v>59553</v>
          </cell>
        </row>
        <row r="160">
          <cell r="A160" t="str">
            <v>XFRG</v>
          </cell>
          <cell r="B160" t="str">
            <v>XFRG</v>
          </cell>
          <cell r="C160" t="str">
            <v>XFRG</v>
          </cell>
          <cell r="D160" t="str">
            <v>XFRG</v>
          </cell>
          <cell r="E160" t="str">
            <v>AMAZON</v>
          </cell>
          <cell r="F160" t="str">
            <v>0000000000</v>
          </cell>
        </row>
        <row r="160">
          <cell r="H160" t="str">
            <v>XPO Artenay NS 3PL ZAC du Moulin</v>
          </cell>
        </row>
        <row r="160">
          <cell r="K160" t="str">
            <v>Artenay</v>
          </cell>
          <cell r="L160" t="str">
            <v>Loiret</v>
          </cell>
          <cell r="M160" t="str">
            <v>FR</v>
          </cell>
          <cell r="N160" t="str">
            <v>45410</v>
          </cell>
        </row>
        <row r="161">
          <cell r="A161" t="str">
            <v>BVA1</v>
          </cell>
          <cell r="B161" t="str">
            <v>BVA1</v>
          </cell>
          <cell r="C161" t="str">
            <v>BVA1</v>
          </cell>
          <cell r="D161" t="str">
            <v>BVA1</v>
          </cell>
          <cell r="E161" t="str">
            <v>AMAZON</v>
          </cell>
          <cell r="F161" t="str">
            <v>0000000000</v>
          </cell>
        </row>
        <row r="161">
          <cell r="H161" t="str">
            <v>Av. du Superbe Orenoque</v>
          </cell>
        </row>
        <row r="161">
          <cell r="K161" t="str">
            <v>AMIENS CEDEX</v>
          </cell>
          <cell r="L161" t="str">
            <v>Boves</v>
          </cell>
          <cell r="M161" t="str">
            <v>FR</v>
          </cell>
          <cell r="N161" t="str">
            <v>80337</v>
          </cell>
        </row>
        <row r="162">
          <cell r="A162" t="str">
            <v>ORY1-45770</v>
          </cell>
          <cell r="B162" t="str">
            <v>ORY1-45770</v>
          </cell>
          <cell r="C162" t="str">
            <v>ORY1-45770</v>
          </cell>
          <cell r="D162" t="str">
            <v>ORY1-45770</v>
          </cell>
          <cell r="E162" t="str">
            <v>AMAZON</v>
          </cell>
          <cell r="F162" t="str">
            <v>0000000000</v>
          </cell>
        </row>
        <row r="162">
          <cell r="H162" t="str">
            <v>Rue du Champ Rouge 1401</v>
          </cell>
        </row>
        <row r="162">
          <cell r="K162" t="str">
            <v>SARAN</v>
          </cell>
          <cell r="L162" t="str">
            <v>Loiret</v>
          </cell>
          <cell r="M162" t="str">
            <v>FR</v>
          </cell>
          <cell r="N162" t="str">
            <v>45770</v>
          </cell>
        </row>
        <row r="163">
          <cell r="A163" t="str">
            <v>CDFR</v>
          </cell>
          <cell r="B163" t="str">
            <v>CDFR</v>
          </cell>
          <cell r="C163" t="str">
            <v>CDFR</v>
          </cell>
          <cell r="D163" t="str">
            <v>CDFR</v>
          </cell>
          <cell r="E163" t="str">
            <v>AMAZON</v>
          </cell>
          <cell r="F163" t="str">
            <v>0000000000</v>
          </cell>
        </row>
        <row r="163">
          <cell r="H163" t="str">
            <v>5 avenue de Guitayne,Zone Industrielle du Courneau CANEJAN France 33610</v>
          </cell>
        </row>
        <row r="163">
          <cell r="K163" t="str">
            <v>CANEJAN</v>
          </cell>
          <cell r="L163" t="str">
            <v>CANEJAN</v>
          </cell>
          <cell r="M163" t="str">
            <v>FR</v>
          </cell>
          <cell r="N163" t="str">
            <v>33610</v>
          </cell>
        </row>
        <row r="164">
          <cell r="A164" t="str">
            <v>XOR1</v>
          </cell>
          <cell r="B164" t="str">
            <v>XOR1</v>
          </cell>
          <cell r="C164" t="str">
            <v>XOR1</v>
          </cell>
          <cell r="D164" t="str">
            <v>XOR1</v>
          </cell>
          <cell r="E164" t="str">
            <v>AMAZON</v>
          </cell>
          <cell r="F164" t="str">
            <v>0000000000</v>
          </cell>
        </row>
        <row r="164">
          <cell r="H164" t="str">
            <v>succursale francaise Pièce de la Remise 146, route de Corbeil</v>
          </cell>
        </row>
        <row r="164">
          <cell r="K164" t="str">
            <v>Réau</v>
          </cell>
          <cell r="L164" t="str">
            <v>Île-de-France</v>
          </cell>
          <cell r="M164" t="str">
            <v>FR</v>
          </cell>
          <cell r="N164" t="str">
            <v>77550</v>
          </cell>
        </row>
        <row r="165">
          <cell r="A165" t="str">
            <v>VESK</v>
          </cell>
          <cell r="B165" t="str">
            <v>VESK</v>
          </cell>
          <cell r="C165" t="str">
            <v>VESK</v>
          </cell>
          <cell r="D165" t="str">
            <v>VESK</v>
          </cell>
          <cell r="E165" t="str">
            <v>AMAZON</v>
          </cell>
          <cell r="F165" t="str">
            <v>0000000000</v>
          </cell>
        </row>
        <row r="165">
          <cell r="H165" t="str">
            <v>7 rue du Chrome</v>
          </cell>
        </row>
        <row r="165">
          <cell r="K165" t="str">
            <v>Savigny le Temple</v>
          </cell>
          <cell r="L165" t="str">
            <v>Ile de</v>
          </cell>
          <cell r="M165" t="str">
            <v>FR</v>
          </cell>
          <cell r="N165" t="str">
            <v>77176</v>
          </cell>
        </row>
        <row r="166">
          <cell r="A166" t="str">
            <v>CDG7</v>
          </cell>
          <cell r="B166" t="str">
            <v>CDG7</v>
          </cell>
          <cell r="C166" t="str">
            <v>CDG7</v>
          </cell>
          <cell r="D166" t="str">
            <v>CDG7</v>
          </cell>
          <cell r="E166" t="str">
            <v>AMAZON</v>
          </cell>
          <cell r="F166" t="str">
            <v>0000000000</v>
          </cell>
        </row>
        <row r="166">
          <cell r="H166" t="str">
            <v>Parc d'activites des Portes de Senlis 1 avenue Alain Boucher</v>
          </cell>
        </row>
        <row r="166">
          <cell r="K166" t="str">
            <v>Senlis Cedex</v>
          </cell>
          <cell r="L166" t="str">
            <v>Oise</v>
          </cell>
          <cell r="M166" t="str">
            <v>FR</v>
          </cell>
          <cell r="N166" t="str">
            <v>60452</v>
          </cell>
        </row>
        <row r="167">
          <cell r="A167" t="str">
            <v>ORY4-91225</v>
          </cell>
          <cell r="B167" t="str">
            <v>ORY4-91225</v>
          </cell>
          <cell r="C167" t="str">
            <v>ORY4-91225</v>
          </cell>
          <cell r="D167" t="str">
            <v>ORY4-91225</v>
          </cell>
          <cell r="E167" t="str">
            <v>AMAZON</v>
          </cell>
          <cell r="F167" t="str">
            <v>0000000000</v>
          </cell>
        </row>
        <row r="167">
          <cell r="H167" t="str">
            <v>AVENUE DU CENTRE D’ESSAI EN VOL 20</v>
          </cell>
        </row>
        <row r="167">
          <cell r="K167" t="str">
            <v>BRETIGNY SUR ORGE CEDEX</v>
          </cell>
          <cell r="L167" t="str">
            <v>Essonne</v>
          </cell>
          <cell r="M167" t="str">
            <v>FR</v>
          </cell>
          <cell r="N167" t="str">
            <v>91225</v>
          </cell>
        </row>
        <row r="168">
          <cell r="A168" t="str">
            <v>XOS1</v>
          </cell>
          <cell r="B168" t="str">
            <v>XOS1</v>
          </cell>
          <cell r="C168" t="str">
            <v>XOS1</v>
          </cell>
          <cell r="D168" t="str">
            <v>XOS1</v>
          </cell>
          <cell r="E168" t="str">
            <v>AMAZON</v>
          </cell>
          <cell r="F168" t="str">
            <v>0000000000</v>
          </cell>
        </row>
        <row r="168">
          <cell r="H168" t="str">
            <v>Rue de Corbehem Brebieres，Hauts-de-France</v>
          </cell>
        </row>
        <row r="168">
          <cell r="K168" t="str">
            <v>Brebieres</v>
          </cell>
          <cell r="L168" t="str">
            <v>Hauts-de-France</v>
          </cell>
          <cell r="M168" t="str">
            <v>FR</v>
          </cell>
          <cell r="N168" t="str">
            <v>62117</v>
          </cell>
        </row>
        <row r="169">
          <cell r="A169" t="str">
            <v>XOR2</v>
          </cell>
          <cell r="B169" t="str">
            <v>XOR2</v>
          </cell>
          <cell r="C169" t="str">
            <v>XOR2</v>
          </cell>
          <cell r="D169" t="str">
            <v>XOR2</v>
          </cell>
          <cell r="E169" t="str">
            <v>AMAZON</v>
          </cell>
          <cell r="F169" t="str">
            <v>0000000000</v>
          </cell>
        </row>
        <row r="169">
          <cell r="H169" t="str">
            <v>Parc des Chênes Nord 135, Rue du Brisson ZI St Quentin FallavierBâtiment "IDC9"</v>
          </cell>
        </row>
        <row r="169">
          <cell r="K169" t="str">
            <v>Satolas-et-Bonce</v>
          </cell>
          <cell r="L169" t="str">
            <v>Isère</v>
          </cell>
          <cell r="M169" t="str">
            <v>FR</v>
          </cell>
          <cell r="N169" t="str">
            <v>38290</v>
          </cell>
        </row>
        <row r="170">
          <cell r="A170" t="str">
            <v>ETZ2</v>
          </cell>
          <cell r="B170" t="str">
            <v>ETZ2</v>
          </cell>
          <cell r="C170" t="str">
            <v>ETZ2</v>
          </cell>
          <cell r="D170" t="str">
            <v>ETZ2</v>
          </cell>
          <cell r="E170" t="str">
            <v>AMAZON</v>
          </cell>
          <cell r="F170" t="str">
            <v>0000000000</v>
          </cell>
        </row>
        <row r="170">
          <cell r="H170" t="str">
            <v>rue de la Croix de Lorraine 1</v>
          </cell>
        </row>
        <row r="170">
          <cell r="K170" t="str">
            <v>Augny</v>
          </cell>
          <cell r="L170" t="str">
            <v>Moselle</v>
          </cell>
          <cell r="M170" t="str">
            <v>FR</v>
          </cell>
          <cell r="N170" t="str">
            <v>57685</v>
          </cell>
        </row>
        <row r="171">
          <cell r="A171" t="str">
            <v>BVA1-80440</v>
          </cell>
          <cell r="B171" t="str">
            <v>BVA1-80440</v>
          </cell>
          <cell r="C171" t="str">
            <v>BVA1-80440</v>
          </cell>
          <cell r="D171" t="str">
            <v>BVA1-80440</v>
          </cell>
          <cell r="E171" t="str">
            <v>AMAZON</v>
          </cell>
          <cell r="F171" t="str">
            <v>0000000000</v>
          </cell>
        </row>
        <row r="171">
          <cell r="H171" t="str">
            <v>Av. du Superbe Orenoque 1</v>
          </cell>
        </row>
        <row r="171">
          <cell r="K171" t="str">
            <v>AMIENS CEDEX</v>
          </cell>
          <cell r="L171" t="str">
            <v>Boves</v>
          </cell>
          <cell r="M171" t="str">
            <v>FR</v>
          </cell>
          <cell r="N171" t="str">
            <v>80440</v>
          </cell>
        </row>
        <row r="172">
          <cell r="A172" t="str">
            <v>LEJ1</v>
          </cell>
          <cell r="B172" t="str">
            <v>LEJ1</v>
          </cell>
          <cell r="C172" t="str">
            <v>LEJ1</v>
          </cell>
          <cell r="D172" t="str">
            <v>LEJ1</v>
          </cell>
          <cell r="E172" t="str">
            <v>AMAZON</v>
          </cell>
          <cell r="F172" t="str">
            <v>0000000000</v>
          </cell>
        </row>
        <row r="172">
          <cell r="H172" t="str">
            <v>Amazonstrasse 1</v>
          </cell>
        </row>
        <row r="172">
          <cell r="K172" t="str">
            <v>Leipzig</v>
          </cell>
          <cell r="L172" t="str">
            <v>Saxony</v>
          </cell>
          <cell r="M172" t="str">
            <v>DE</v>
          </cell>
          <cell r="N172" t="str">
            <v>04347</v>
          </cell>
        </row>
        <row r="173">
          <cell r="A173" t="str">
            <v>FRA3</v>
          </cell>
          <cell r="B173" t="str">
            <v>FRA3</v>
          </cell>
          <cell r="C173" t="str">
            <v>FRA3</v>
          </cell>
          <cell r="D173" t="str">
            <v>FRA3</v>
          </cell>
          <cell r="E173" t="str">
            <v>AMAZON</v>
          </cell>
          <cell r="F173" t="str">
            <v>0000000000</v>
          </cell>
        </row>
        <row r="173">
          <cell r="H173" t="str">
            <v>Amazonstrasse 1</v>
          </cell>
        </row>
        <row r="173">
          <cell r="K173" t="str">
            <v>Bad Hersfeld</v>
          </cell>
          <cell r="L173" t="str">
            <v>Obere Kühnbach</v>
          </cell>
          <cell r="M173" t="str">
            <v>DE</v>
          </cell>
          <cell r="N173" t="str">
            <v>36251</v>
          </cell>
        </row>
        <row r="174">
          <cell r="A174" t="str">
            <v>EDE5</v>
          </cell>
          <cell r="B174" t="str">
            <v>EDE5</v>
          </cell>
          <cell r="C174" t="str">
            <v>EDE5</v>
          </cell>
          <cell r="D174" t="str">
            <v>EDE5</v>
          </cell>
          <cell r="E174" t="str">
            <v>AMAZON</v>
          </cell>
          <cell r="F174" t="str">
            <v>0000000000</v>
          </cell>
        </row>
        <row r="174">
          <cell r="H174" t="str">
            <v>Wahrbrink 23</v>
          </cell>
        </row>
        <row r="174">
          <cell r="K174" t="str">
            <v>Werne</v>
          </cell>
          <cell r="L174" t="str">
            <v>North Rhine-Westphalia</v>
          </cell>
          <cell r="M174" t="str">
            <v>DE</v>
          </cell>
          <cell r="N174" t="str">
            <v>59368</v>
          </cell>
        </row>
        <row r="175">
          <cell r="A175" t="str">
            <v>EDE4</v>
          </cell>
          <cell r="B175" t="str">
            <v>EDE4</v>
          </cell>
          <cell r="C175" t="str">
            <v>EDE4</v>
          </cell>
          <cell r="D175" t="str">
            <v>EDE4</v>
          </cell>
          <cell r="E175" t="str">
            <v>AMAZON</v>
          </cell>
          <cell r="F175" t="str">
            <v>0000000000</v>
          </cell>
        </row>
        <row r="175">
          <cell r="H175" t="str">
            <v>Wahrbrink 25</v>
          </cell>
        </row>
        <row r="175">
          <cell r="K175" t="str">
            <v>Werne</v>
          </cell>
          <cell r="L175" t="str">
            <v>Werne</v>
          </cell>
          <cell r="M175" t="str">
            <v>DE</v>
          </cell>
          <cell r="N175" t="str">
            <v>59368</v>
          </cell>
        </row>
        <row r="176">
          <cell r="A176" t="str">
            <v>EDEA</v>
          </cell>
          <cell r="B176" t="str">
            <v>EDEA</v>
          </cell>
          <cell r="C176" t="str">
            <v>EDEA</v>
          </cell>
          <cell r="D176" t="str">
            <v>EDEA</v>
          </cell>
          <cell r="E176" t="str">
            <v>AMAZON</v>
          </cell>
          <cell r="F176" t="str">
            <v>0000000000</v>
          </cell>
        </row>
        <row r="176">
          <cell r="H176" t="str">
            <v>Warmbreitbandstr. 3</v>
          </cell>
        </row>
        <row r="176">
          <cell r="K176" t="str">
            <v>Dortmund</v>
          </cell>
          <cell r="L176" t="str">
            <v>North Rhine Westphalia</v>
          </cell>
          <cell r="M176" t="str">
            <v>DE</v>
          </cell>
          <cell r="N176" t="str">
            <v>44145</v>
          </cell>
        </row>
        <row r="177">
          <cell r="A177" t="str">
            <v>MUC3</v>
          </cell>
          <cell r="B177" t="str">
            <v>MUC3</v>
          </cell>
          <cell r="C177" t="str">
            <v>MUC3</v>
          </cell>
          <cell r="D177" t="str">
            <v>MUC3</v>
          </cell>
          <cell r="E177" t="str">
            <v>AMAZON</v>
          </cell>
          <cell r="F177" t="str">
            <v>0000000000</v>
          </cell>
        </row>
        <row r="177">
          <cell r="H177" t="str">
            <v>Amazonstrasse 1</v>
          </cell>
        </row>
        <row r="177">
          <cell r="K177" t="str">
            <v>Graben</v>
          </cell>
          <cell r="L177" t="str">
            <v>Bayern</v>
          </cell>
          <cell r="M177" t="str">
            <v>DE</v>
          </cell>
          <cell r="N177" t="str">
            <v>86836</v>
          </cell>
        </row>
        <row r="178">
          <cell r="A178" t="str">
            <v>DUS2</v>
          </cell>
          <cell r="B178" t="str">
            <v>DUS2</v>
          </cell>
          <cell r="C178" t="str">
            <v>DUS2</v>
          </cell>
          <cell r="D178" t="str">
            <v>DUS2</v>
          </cell>
          <cell r="E178" t="str">
            <v>AMAZON</v>
          </cell>
          <cell r="F178" t="str">
            <v>0000000000</v>
          </cell>
        </row>
        <row r="178">
          <cell r="H178" t="str">
            <v>Amazonstrasse 1</v>
          </cell>
        </row>
        <row r="178">
          <cell r="K178" t="str">
            <v>Rheinberg</v>
          </cell>
          <cell r="L178" t="str">
            <v>Nordrhein-Westfalen</v>
          </cell>
          <cell r="M178" t="str">
            <v>DE</v>
          </cell>
          <cell r="N178" t="str">
            <v>47495</v>
          </cell>
        </row>
        <row r="179">
          <cell r="A179" t="str">
            <v>DUS4</v>
          </cell>
          <cell r="B179" t="str">
            <v>DUS4</v>
          </cell>
          <cell r="C179" t="str">
            <v>DUS4</v>
          </cell>
          <cell r="D179" t="str">
            <v>DUS4</v>
          </cell>
          <cell r="E179" t="str">
            <v>AMAZON</v>
          </cell>
          <cell r="F179" t="str">
            <v>0000000000</v>
          </cell>
        </row>
        <row r="179">
          <cell r="H179" t="str">
            <v>Hamburgring 10</v>
          </cell>
        </row>
        <row r="179">
          <cell r="K179" t="str">
            <v>Mönchengladbach</v>
          </cell>
          <cell r="L179" t="str">
            <v>Nordrhein-Westfalen</v>
          </cell>
          <cell r="M179" t="str">
            <v>DE</v>
          </cell>
          <cell r="N179" t="str">
            <v>41179</v>
          </cell>
        </row>
        <row r="180">
          <cell r="A180" t="str">
            <v>FRA1</v>
          </cell>
          <cell r="B180" t="str">
            <v>FRA1</v>
          </cell>
          <cell r="C180" t="str">
            <v>FRA1</v>
          </cell>
          <cell r="D180" t="str">
            <v>FRA1</v>
          </cell>
          <cell r="E180" t="str">
            <v>AMAZON</v>
          </cell>
          <cell r="F180" t="str">
            <v>0000000000</v>
          </cell>
        </row>
        <row r="180">
          <cell r="H180" t="str">
            <v>Am Schloß Eichhof 1</v>
          </cell>
        </row>
        <row r="180">
          <cell r="K180" t="str">
            <v>Bad Herfeld</v>
          </cell>
          <cell r="L180" t="str">
            <v>Hessen</v>
          </cell>
          <cell r="M180" t="str">
            <v>DE</v>
          </cell>
          <cell r="N180" t="str">
            <v>36251</v>
          </cell>
        </row>
        <row r="181">
          <cell r="A181" t="str">
            <v>BER3</v>
          </cell>
          <cell r="B181" t="str">
            <v>BER3</v>
          </cell>
          <cell r="C181" t="str">
            <v>BER3</v>
          </cell>
          <cell r="D181" t="str">
            <v>BER3</v>
          </cell>
          <cell r="E181" t="str">
            <v>AMAZON</v>
          </cell>
          <cell r="F181" t="str">
            <v>0000000000</v>
          </cell>
        </row>
        <row r="181">
          <cell r="H181" t="str">
            <v>Havellandstrasse 5</v>
          </cell>
        </row>
        <row r="181">
          <cell r="K181" t="str">
            <v>Brieselang</v>
          </cell>
          <cell r="L181" t="str">
            <v>Brandenburg</v>
          </cell>
          <cell r="M181" t="str">
            <v>DE</v>
          </cell>
          <cell r="N181" t="str">
            <v>14656</v>
          </cell>
        </row>
        <row r="182">
          <cell r="A182" t="str">
            <v>CGN1</v>
          </cell>
          <cell r="B182" t="str">
            <v>CGN1</v>
          </cell>
          <cell r="C182" t="str">
            <v>CGN1</v>
          </cell>
          <cell r="D182" t="str">
            <v>CGN1</v>
          </cell>
          <cell r="E182" t="str">
            <v>AMAZON</v>
          </cell>
          <cell r="F182" t="str">
            <v>0000000000</v>
          </cell>
        </row>
        <row r="182">
          <cell r="H182" t="str">
            <v>Amazonstraße 1</v>
          </cell>
        </row>
        <row r="182">
          <cell r="K182" t="str">
            <v>Kobern-Gondorf</v>
          </cell>
          <cell r="L182" t="str">
            <v>Rheinland - Pfalz</v>
          </cell>
          <cell r="M182" t="str">
            <v>DE</v>
          </cell>
          <cell r="N182" t="str">
            <v>56330</v>
          </cell>
        </row>
        <row r="183">
          <cell r="A183" t="str">
            <v>CGN1-</v>
          </cell>
          <cell r="B183" t="str">
            <v>CGN1-</v>
          </cell>
          <cell r="C183" t="str">
            <v>CGN1-</v>
          </cell>
          <cell r="D183" t="str">
            <v>CGN1-</v>
          </cell>
          <cell r="E183" t="str">
            <v>AMAZON</v>
          </cell>
          <cell r="F183" t="str">
            <v>0000000000</v>
          </cell>
        </row>
        <row r="183">
          <cell r="H183" t="str">
            <v>Amazonstrasse 1</v>
          </cell>
        </row>
        <row r="183">
          <cell r="K183" t="str">
            <v>Kobern-Gondorf</v>
          </cell>
          <cell r="L183" t="str">
            <v>Rheinland - Pfalz</v>
          </cell>
          <cell r="M183" t="str">
            <v>DE</v>
          </cell>
          <cell r="N183" t="str">
            <v>56330</v>
          </cell>
        </row>
        <row r="184">
          <cell r="A184" t="str">
            <v>WRO2</v>
          </cell>
          <cell r="B184" t="str">
            <v>WRO2</v>
          </cell>
          <cell r="C184" t="str">
            <v>WRO2</v>
          </cell>
          <cell r="D184" t="str">
            <v>WRO2</v>
          </cell>
          <cell r="E184" t="str">
            <v>AMAZON</v>
          </cell>
          <cell r="F184" t="str">
            <v>0000000000</v>
          </cell>
        </row>
        <row r="184">
          <cell r="H184" t="str">
            <v>Hamburger Str.99</v>
          </cell>
        </row>
        <row r="184">
          <cell r="K184" t="str">
            <v>Nürnberg</v>
          </cell>
          <cell r="L184" t="str">
            <v>Bavaria</v>
          </cell>
          <cell r="M184" t="str">
            <v>DE</v>
          </cell>
          <cell r="N184" t="str">
            <v>90451</v>
          </cell>
        </row>
        <row r="185">
          <cell r="A185" t="str">
            <v>PRG2</v>
          </cell>
          <cell r="B185" t="str">
            <v>PRG2</v>
          </cell>
          <cell r="C185" t="str">
            <v>PRG2</v>
          </cell>
          <cell r="D185" t="str">
            <v>PRG2</v>
          </cell>
          <cell r="E185" t="str">
            <v>AMAZON</v>
          </cell>
          <cell r="F185" t="str">
            <v>0000000000</v>
          </cell>
        </row>
        <row r="185">
          <cell r="H185" t="str">
            <v>DHL Solution Fashion GmbH Am Wald</v>
          </cell>
        </row>
        <row r="185">
          <cell r="K185" t="str">
            <v>Oranienburg</v>
          </cell>
          <cell r="L185" t="str">
            <v>Oranienburg</v>
          </cell>
          <cell r="M185" t="str">
            <v>DE</v>
          </cell>
          <cell r="N185" t="str">
            <v>16515</v>
          </cell>
        </row>
        <row r="186">
          <cell r="A186" t="str">
            <v>WRO1</v>
          </cell>
          <cell r="B186" t="str">
            <v>WRO1</v>
          </cell>
          <cell r="C186" t="str">
            <v>WRO1</v>
          </cell>
          <cell r="D186" t="str">
            <v>WRO1</v>
          </cell>
          <cell r="E186" t="str">
            <v>AMAZON</v>
          </cell>
          <cell r="F186" t="str">
            <v>0000000000</v>
          </cell>
        </row>
        <row r="186">
          <cell r="H186" t="str">
            <v>Hamburger Str. 99</v>
          </cell>
        </row>
        <row r="186">
          <cell r="K186" t="str">
            <v>Nuernberg</v>
          </cell>
          <cell r="L186" t="str">
            <v>Bavaria</v>
          </cell>
          <cell r="M186" t="str">
            <v>DE</v>
          </cell>
          <cell r="N186" t="str">
            <v>90451</v>
          </cell>
        </row>
        <row r="187">
          <cell r="A187" t="str">
            <v>KTW1</v>
          </cell>
          <cell r="B187" t="str">
            <v>KTW1</v>
          </cell>
          <cell r="C187" t="str">
            <v>KTW1</v>
          </cell>
          <cell r="D187" t="str">
            <v>KTW1</v>
          </cell>
          <cell r="E187" t="str">
            <v>AMAZON</v>
          </cell>
          <cell r="F187" t="str">
            <v>0000000000</v>
          </cell>
        </row>
        <row r="187">
          <cell r="H187" t="str">
            <v>Hamburger Str. 99</v>
          </cell>
        </row>
        <row r="187">
          <cell r="K187" t="str">
            <v>Nuernberg</v>
          </cell>
          <cell r="L187" t="str">
            <v>Bavaria</v>
          </cell>
          <cell r="M187" t="str">
            <v>DE</v>
          </cell>
          <cell r="N187" t="str">
            <v>90451</v>
          </cell>
        </row>
        <row r="188">
          <cell r="A188" t="str">
            <v>LCJ2</v>
          </cell>
          <cell r="B188" t="str">
            <v>LCJ2</v>
          </cell>
          <cell r="C188" t="str">
            <v>LCJ2</v>
          </cell>
          <cell r="D188" t="str">
            <v>LCJ2</v>
          </cell>
          <cell r="E188" t="str">
            <v>AMAZON</v>
          </cell>
          <cell r="F188" t="str">
            <v>0000000000</v>
          </cell>
        </row>
        <row r="188">
          <cell r="H188" t="str">
            <v>Hamburger Str. 99</v>
          </cell>
        </row>
        <row r="188">
          <cell r="K188" t="str">
            <v>Nuernberg</v>
          </cell>
          <cell r="L188" t="str">
            <v>Bavaria</v>
          </cell>
          <cell r="M188" t="str">
            <v>DE</v>
          </cell>
          <cell r="N188" t="str">
            <v>90451</v>
          </cell>
        </row>
        <row r="189">
          <cell r="A189" t="str">
            <v>STR1</v>
          </cell>
          <cell r="B189" t="str">
            <v>STR1</v>
          </cell>
          <cell r="C189" t="str">
            <v>STR1</v>
          </cell>
          <cell r="D189" t="str">
            <v>STR1</v>
          </cell>
          <cell r="E189" t="str">
            <v>AMAZON</v>
          </cell>
          <cell r="F189" t="str">
            <v>0000000000</v>
          </cell>
        </row>
        <row r="189">
          <cell r="H189" t="str">
            <v>Amazonstrasse 1</v>
          </cell>
        </row>
        <row r="189">
          <cell r="K189" t="str">
            <v>Pforzheim</v>
          </cell>
          <cell r="L189" t="str">
            <v>Baden-Wurttemberg</v>
          </cell>
          <cell r="M189" t="str">
            <v>DE</v>
          </cell>
          <cell r="N189" t="str">
            <v>75177</v>
          </cell>
        </row>
        <row r="190">
          <cell r="A190" t="str">
            <v>HAM2</v>
          </cell>
          <cell r="B190" t="str">
            <v>HAM2</v>
          </cell>
          <cell r="C190" t="str">
            <v>HAM2</v>
          </cell>
          <cell r="D190" t="str">
            <v>HAM2</v>
          </cell>
          <cell r="E190" t="str">
            <v>AMAZON</v>
          </cell>
          <cell r="F190" t="str">
            <v>0000000000</v>
          </cell>
        </row>
        <row r="190">
          <cell r="H190" t="str">
            <v>Borgwardstrasse 10</v>
          </cell>
        </row>
        <row r="190">
          <cell r="K190" t="str">
            <v>Winsen (Luhe)</v>
          </cell>
          <cell r="L190" t="str">
            <v>Niedersachsen</v>
          </cell>
          <cell r="M190" t="str">
            <v>DE</v>
          </cell>
          <cell r="N190" t="str">
            <v>21423</v>
          </cell>
        </row>
        <row r="191">
          <cell r="A191" t="str">
            <v>DTM2</v>
          </cell>
          <cell r="B191" t="str">
            <v>DTM2</v>
          </cell>
          <cell r="C191" t="str">
            <v>DTM2</v>
          </cell>
          <cell r="D191" t="str">
            <v>DTM2</v>
          </cell>
          <cell r="E191" t="str">
            <v>AMAZON</v>
          </cell>
          <cell r="F191" t="str">
            <v>0000000000</v>
          </cell>
        </row>
        <row r="191">
          <cell r="H191" t="str">
            <v>Kaltbandstrasse 4</v>
          </cell>
        </row>
        <row r="191">
          <cell r="K191" t="str">
            <v>Dortmund</v>
          </cell>
          <cell r="L191" t="str">
            <v>North Rhine-Westphalia</v>
          </cell>
          <cell r="M191" t="str">
            <v>DE</v>
          </cell>
          <cell r="N191" t="str">
            <v>44145</v>
          </cell>
        </row>
        <row r="192">
          <cell r="A192" t="str">
            <v>DTM1</v>
          </cell>
          <cell r="B192" t="str">
            <v>DTM1</v>
          </cell>
          <cell r="C192" t="str">
            <v>DTM1</v>
          </cell>
          <cell r="D192" t="str">
            <v>DTM1</v>
          </cell>
          <cell r="E192" t="str">
            <v>AMAZON</v>
          </cell>
          <cell r="F192" t="str">
            <v>0000000000</v>
          </cell>
        </row>
        <row r="192">
          <cell r="H192" t="str">
            <v>Raiffeisenstrasse 7</v>
          </cell>
        </row>
        <row r="192">
          <cell r="K192" t="str">
            <v>Werne a.d.Lippe</v>
          </cell>
          <cell r="L192" t="str">
            <v>Nordrhein-Westfalen</v>
          </cell>
          <cell r="M192" t="str">
            <v>DE</v>
          </cell>
          <cell r="N192" t="str">
            <v>59368</v>
          </cell>
        </row>
        <row r="193">
          <cell r="A193" t="str">
            <v>DTM1-</v>
          </cell>
          <cell r="B193" t="str">
            <v>DTM1-</v>
          </cell>
          <cell r="C193" t="str">
            <v>DTM1-</v>
          </cell>
          <cell r="D193" t="str">
            <v>DTM1-</v>
          </cell>
          <cell r="E193" t="str">
            <v>AMAZON</v>
          </cell>
          <cell r="F193" t="str">
            <v>0000000000</v>
          </cell>
        </row>
        <row r="193">
          <cell r="H193" t="str">
            <v>Carl-Zeiss-Straße 3</v>
          </cell>
        </row>
        <row r="193">
          <cell r="K193" t="str">
            <v>Werne</v>
          </cell>
          <cell r="L193" t="str">
            <v>Nordrhein-Westfalen</v>
          </cell>
          <cell r="M193" t="str">
            <v>DE</v>
          </cell>
          <cell r="N193" t="str">
            <v>59368</v>
          </cell>
        </row>
        <row r="194">
          <cell r="A194" t="str">
            <v>FRA7</v>
          </cell>
          <cell r="B194" t="str">
            <v>FRA7</v>
          </cell>
          <cell r="C194" t="str">
            <v>FRA7</v>
          </cell>
          <cell r="D194" t="str">
            <v>FRA7</v>
          </cell>
          <cell r="E194" t="str">
            <v>AMAZON</v>
          </cell>
          <cell r="F194" t="str">
            <v>0000000000</v>
          </cell>
        </row>
        <row r="194">
          <cell r="H194" t="str">
            <v>Am Römig 5</v>
          </cell>
        </row>
        <row r="194">
          <cell r="K194" t="str">
            <v>Frankenthal</v>
          </cell>
          <cell r="L194" t="str">
            <v>Pfalz</v>
          </cell>
          <cell r="M194" t="str">
            <v>DE</v>
          </cell>
          <cell r="N194" t="str">
            <v>67227</v>
          </cell>
        </row>
        <row r="195">
          <cell r="A195" t="str">
            <v>HAM8</v>
          </cell>
          <cell r="B195" t="str">
            <v>HAM8</v>
          </cell>
          <cell r="C195" t="str">
            <v>HAM8</v>
          </cell>
          <cell r="D195" t="str">
            <v>HAM8</v>
          </cell>
          <cell r="E195" t="str">
            <v>AMAZON</v>
          </cell>
          <cell r="F195" t="str">
            <v>0000000000</v>
          </cell>
        </row>
        <row r="195">
          <cell r="H195" t="str">
            <v>Halstenbeker Weg 98C</v>
          </cell>
        </row>
        <row r="195">
          <cell r="K195" t="str">
            <v>Rellingen</v>
          </cell>
          <cell r="L195" t="str">
            <v>Rellingen</v>
          </cell>
          <cell r="M195" t="str">
            <v>DE</v>
          </cell>
          <cell r="N195" t="str">
            <v>25462</v>
          </cell>
        </row>
        <row r="196">
          <cell r="A196" t="str">
            <v>POZ1</v>
          </cell>
          <cell r="B196" t="str">
            <v>POZ1</v>
          </cell>
          <cell r="C196" t="str">
            <v>POZ1</v>
          </cell>
          <cell r="D196" t="str">
            <v>POZ1</v>
          </cell>
          <cell r="E196" t="str">
            <v>AMAZON</v>
          </cell>
          <cell r="F196" t="str">
            <v>0000000000</v>
          </cell>
        </row>
        <row r="196">
          <cell r="H196" t="str">
            <v>Hamburger Str. 99</v>
          </cell>
        </row>
        <row r="196">
          <cell r="K196" t="str">
            <v>Nuernberg</v>
          </cell>
          <cell r="L196" t="str">
            <v>Bavaria</v>
          </cell>
          <cell r="M196" t="str">
            <v>DE</v>
          </cell>
          <cell r="N196" t="str">
            <v>90451</v>
          </cell>
        </row>
        <row r="197">
          <cell r="A197" t="str">
            <v>DE01</v>
          </cell>
          <cell r="B197" t="str">
            <v>DE01</v>
          </cell>
          <cell r="C197" t="str">
            <v>DE01</v>
          </cell>
          <cell r="D197" t="str">
            <v>DE01</v>
          </cell>
          <cell r="E197" t="str">
            <v>AMAZON</v>
          </cell>
          <cell r="F197" t="str">
            <v>0000000000</v>
          </cell>
        </row>
        <row r="197">
          <cell r="H197" t="str">
            <v>Gustav-kunst-str.2-16</v>
          </cell>
        </row>
        <row r="197">
          <cell r="K197" t="str">
            <v>Hamburg</v>
          </cell>
          <cell r="L197" t="str">
            <v>Hamburg</v>
          </cell>
          <cell r="M197" t="str">
            <v>DE</v>
          </cell>
          <cell r="N197" t="str">
            <v>20539</v>
          </cell>
        </row>
        <row r="198">
          <cell r="A198" t="str">
            <v>PAD1</v>
          </cell>
          <cell r="B198" t="str">
            <v>PAD1</v>
          </cell>
          <cell r="C198" t="str">
            <v>PAD1</v>
          </cell>
          <cell r="D198" t="str">
            <v>PAD1</v>
          </cell>
          <cell r="E198" t="str">
            <v>AMAZON</v>
          </cell>
          <cell r="F198" t="str">
            <v>0000000000</v>
          </cell>
        </row>
        <row r="198">
          <cell r="H198" t="str">
            <v>Aurea 10</v>
          </cell>
        </row>
        <row r="198">
          <cell r="K198" t="str">
            <v>Oelde</v>
          </cell>
          <cell r="L198" t="str">
            <v>Nordrhein-Westfalen</v>
          </cell>
          <cell r="M198" t="str">
            <v>DE</v>
          </cell>
          <cell r="N198" t="str">
            <v>59302</v>
          </cell>
        </row>
        <row r="199">
          <cell r="A199" t="str">
            <v>XFR1</v>
          </cell>
          <cell r="B199" t="str">
            <v>XFR1</v>
          </cell>
          <cell r="C199" t="str">
            <v>XFR1</v>
          </cell>
          <cell r="D199" t="str">
            <v>XFR1</v>
          </cell>
          <cell r="E199" t="str">
            <v>AMAZON</v>
          </cell>
          <cell r="F199" t="str">
            <v>0000000000</v>
          </cell>
        </row>
        <row r="199">
          <cell r="H199" t="str">
            <v>Zum Haarstrauch 9-15</v>
          </cell>
        </row>
        <row r="199">
          <cell r="K199" t="str">
            <v>Hammersbach</v>
          </cell>
          <cell r="L199" t="str">
            <v>Hesse</v>
          </cell>
          <cell r="M199" t="str">
            <v>DE</v>
          </cell>
          <cell r="N199" t="str">
            <v>63546</v>
          </cell>
        </row>
        <row r="200">
          <cell r="A200" t="str">
            <v>LEJ3</v>
          </cell>
          <cell r="B200" t="str">
            <v>LEJ3</v>
          </cell>
          <cell r="C200" t="str">
            <v>LEJ3</v>
          </cell>
          <cell r="D200" t="str">
            <v>LEJ3</v>
          </cell>
          <cell r="E200" t="str">
            <v>AMAZON</v>
          </cell>
          <cell r="F200" t="str">
            <v>0000000000</v>
          </cell>
        </row>
        <row r="200">
          <cell r="H200" t="str">
            <v>Bielefelder Str. 9</v>
          </cell>
        </row>
        <row r="200">
          <cell r="K200" t="str">
            <v>Sulzetal</v>
          </cell>
          <cell r="L200" t="str">
            <v>Saxony-Anhalt</v>
          </cell>
          <cell r="M200" t="str">
            <v>DE</v>
          </cell>
          <cell r="N200" t="str">
            <v>39171</v>
          </cell>
        </row>
        <row r="201">
          <cell r="A201" t="str">
            <v>LCJ4</v>
          </cell>
          <cell r="B201" t="str">
            <v>LCJ4</v>
          </cell>
          <cell r="C201" t="str">
            <v>LCJ4</v>
          </cell>
          <cell r="D201" t="str">
            <v>LCJ4</v>
          </cell>
          <cell r="E201" t="str">
            <v>AMAZON</v>
          </cell>
          <cell r="F201" t="str">
            <v>0000000000</v>
          </cell>
        </row>
        <row r="201">
          <cell r="H201" t="str">
            <v>Hamburger Str. 99</v>
          </cell>
        </row>
        <row r="201">
          <cell r="K201" t="str">
            <v>Nuernberg</v>
          </cell>
          <cell r="L201" t="str">
            <v>Bavaria</v>
          </cell>
          <cell r="M201" t="str">
            <v>DE</v>
          </cell>
          <cell r="N201" t="str">
            <v>90451</v>
          </cell>
        </row>
        <row r="202">
          <cell r="A202" t="str">
            <v>XWR1</v>
          </cell>
          <cell r="B202" t="str">
            <v>XWR1</v>
          </cell>
          <cell r="C202" t="str">
            <v>XWR1</v>
          </cell>
          <cell r="D202" t="str">
            <v>XWR1</v>
          </cell>
          <cell r="E202" t="str">
            <v>AMAZON</v>
          </cell>
          <cell r="F202" t="str">
            <v>0000000000</v>
          </cell>
        </row>
        <row r="202">
          <cell r="H202" t="str">
            <v>Hamburger Str. 99</v>
          </cell>
        </row>
        <row r="202">
          <cell r="K202" t="str">
            <v>Nürnberg</v>
          </cell>
          <cell r="L202" t="str">
            <v>Bavaria</v>
          </cell>
          <cell r="M202" t="str">
            <v>DE</v>
          </cell>
          <cell r="N202" t="str">
            <v>90451</v>
          </cell>
        </row>
        <row r="203">
          <cell r="A203" t="str">
            <v>XDU1</v>
          </cell>
          <cell r="B203" t="str">
            <v>XDU1</v>
          </cell>
          <cell r="C203" t="str">
            <v>XDU1</v>
          </cell>
          <cell r="D203" t="str">
            <v>XDU1</v>
          </cell>
          <cell r="E203" t="str">
            <v>AMAZON</v>
          </cell>
          <cell r="F203" t="str">
            <v>0000000000</v>
          </cell>
        </row>
        <row r="203">
          <cell r="H203" t="str">
            <v>Bornwiese 1</v>
          </cell>
        </row>
        <row r="203">
          <cell r="K203" t="str">
            <v>Malsfeld</v>
          </cell>
          <cell r="L203" t="str">
            <v>Hesse</v>
          </cell>
          <cell r="M203" t="str">
            <v>DE</v>
          </cell>
          <cell r="N203" t="str">
            <v>34323</v>
          </cell>
        </row>
        <row r="204">
          <cell r="A204" t="str">
            <v>XSC1</v>
          </cell>
          <cell r="B204" t="str">
            <v>XSC1</v>
          </cell>
          <cell r="C204" t="str">
            <v>XSC1</v>
          </cell>
          <cell r="D204" t="str">
            <v>XSC1</v>
          </cell>
          <cell r="E204" t="str">
            <v>AMAZON</v>
          </cell>
          <cell r="F204" t="str">
            <v>0000000000</v>
          </cell>
        </row>
        <row r="204">
          <cell r="H204" t="str">
            <v>Hans-Geiger-Strasse 7</v>
          </cell>
        </row>
        <row r="204">
          <cell r="K204" t="str">
            <v>Kaiserslautern</v>
          </cell>
          <cell r="L204" t="str">
            <v>Rheinland-Pfalz</v>
          </cell>
          <cell r="M204" t="str">
            <v>DE</v>
          </cell>
          <cell r="N204" t="str">
            <v>67661</v>
          </cell>
        </row>
        <row r="205">
          <cell r="A205" t="str">
            <v>XDU2</v>
          </cell>
          <cell r="B205" t="str">
            <v>XDU2</v>
          </cell>
          <cell r="C205" t="str">
            <v>XDU2</v>
          </cell>
          <cell r="D205" t="str">
            <v>XDU2</v>
          </cell>
          <cell r="E205" t="str">
            <v>AMAZON</v>
          </cell>
          <cell r="F205" t="str">
            <v>0000000000</v>
          </cell>
        </row>
        <row r="205">
          <cell r="H205" t="str">
            <v>Im Lekkerland 2</v>
          </cell>
        </row>
        <row r="205">
          <cell r="K205" t="str">
            <v>Oberhausen</v>
          </cell>
          <cell r="L205" t="str">
            <v>Nordrhein-Westfalen</v>
          </cell>
          <cell r="M205" t="str">
            <v>DE</v>
          </cell>
          <cell r="N205" t="str">
            <v>46147</v>
          </cell>
        </row>
        <row r="206">
          <cell r="A206" t="str">
            <v>XXXY</v>
          </cell>
          <cell r="B206" t="str">
            <v>XXXY</v>
          </cell>
          <cell r="C206" t="str">
            <v>XXXY</v>
          </cell>
          <cell r="D206" t="str">
            <v>XXXY</v>
          </cell>
          <cell r="E206" t="str">
            <v>AMAZON</v>
          </cell>
          <cell r="F206" t="str">
            <v>0000000000</v>
          </cell>
        </row>
        <row r="206">
          <cell r="H206" t="str">
            <v>Bodenehrstrasse 6</v>
          </cell>
        </row>
        <row r="206">
          <cell r="K206" t="str">
            <v>Munich</v>
          </cell>
          <cell r="L206" t="str">
            <v>Bayern</v>
          </cell>
          <cell r="M206" t="str">
            <v>DE</v>
          </cell>
          <cell r="N206" t="str">
            <v>81373</v>
          </cell>
        </row>
        <row r="207">
          <cell r="A207" t="str">
            <v>XHA1</v>
          </cell>
          <cell r="B207" t="str">
            <v>XHA1</v>
          </cell>
          <cell r="C207" t="str">
            <v>XHA1</v>
          </cell>
          <cell r="D207" t="str">
            <v>XHA1</v>
          </cell>
          <cell r="E207" t="str">
            <v>AMAZON</v>
          </cell>
          <cell r="F207" t="str">
            <v>0000000000</v>
          </cell>
        </row>
        <row r="207">
          <cell r="H207" t="str">
            <v>Am Holz 3</v>
          </cell>
        </row>
        <row r="207">
          <cell r="K207" t="str">
            <v>Wulmstorf</v>
          </cell>
          <cell r="L207" t="str">
            <v>Harburg</v>
          </cell>
          <cell r="M207" t="str">
            <v>DE</v>
          </cell>
          <cell r="N207" t="str">
            <v>21629</v>
          </cell>
        </row>
        <row r="208">
          <cell r="A208" t="str">
            <v>WRO5</v>
          </cell>
          <cell r="B208" t="str">
            <v>WRO5</v>
          </cell>
          <cell r="C208" t="str">
            <v>WRO5</v>
          </cell>
          <cell r="D208" t="str">
            <v>WRO5</v>
          </cell>
          <cell r="E208" t="str">
            <v>AMAZON</v>
          </cell>
          <cell r="F208" t="str">
            <v>0000000000</v>
          </cell>
        </row>
        <row r="208">
          <cell r="H208" t="str">
            <v>Schieferstraße 16</v>
          </cell>
        </row>
        <row r="208">
          <cell r="K208" t="str">
            <v>Halle(Saale)</v>
          </cell>
          <cell r="L208" t="str">
            <v>Saxony-Anhalt</v>
          </cell>
          <cell r="M208" t="str">
            <v>DE</v>
          </cell>
          <cell r="N208" t="str">
            <v>06126</v>
          </cell>
        </row>
        <row r="209">
          <cell r="A209" t="str">
            <v>DTM3</v>
          </cell>
          <cell r="B209" t="str">
            <v>DTM3</v>
          </cell>
          <cell r="C209" t="str">
            <v>DTM3</v>
          </cell>
          <cell r="D209" t="str">
            <v>DTM3</v>
          </cell>
          <cell r="E209" t="str">
            <v>AMAZON</v>
          </cell>
          <cell r="F209" t="str">
            <v>0000000000</v>
          </cell>
        </row>
        <row r="209">
          <cell r="H209" t="str">
            <v>Warmbreitbandstraße 3</v>
          </cell>
        </row>
        <row r="209">
          <cell r="K209" t="str">
            <v>Dortmund</v>
          </cell>
          <cell r="L209" t="str">
            <v>North Rhine-Westphalia</v>
          </cell>
          <cell r="M209" t="str">
            <v>DE</v>
          </cell>
          <cell r="N209" t="str">
            <v>44145</v>
          </cell>
        </row>
        <row r="210">
          <cell r="A210" t="str">
            <v>XFR2</v>
          </cell>
          <cell r="B210" t="str">
            <v>XFR2</v>
          </cell>
          <cell r="C210" t="str">
            <v>XFR2</v>
          </cell>
          <cell r="D210" t="str">
            <v>XFR2</v>
          </cell>
          <cell r="E210" t="str">
            <v>AMAZON</v>
          </cell>
          <cell r="F210" t="str">
            <v>0000000000</v>
          </cell>
        </row>
        <row r="210">
          <cell r="H210" t="str">
            <v>Industriegebiet Alsberg</v>
          </cell>
        </row>
        <row r="210">
          <cell r="K210" t="str">
            <v>Rennerod</v>
          </cell>
          <cell r="L210" t="str">
            <v>Koblenz</v>
          </cell>
          <cell r="M210" t="str">
            <v>DE</v>
          </cell>
          <cell r="N210" t="str">
            <v>56477</v>
          </cell>
        </row>
        <row r="211">
          <cell r="A211" t="str">
            <v>BRE4</v>
          </cell>
          <cell r="B211" t="str">
            <v>BRE4</v>
          </cell>
          <cell r="C211" t="str">
            <v>BRE4</v>
          </cell>
          <cell r="D211" t="str">
            <v>BRE4</v>
          </cell>
          <cell r="E211" t="str">
            <v>AMAZON</v>
          </cell>
          <cell r="F211" t="str">
            <v>0000000000</v>
          </cell>
        </row>
        <row r="211">
          <cell r="H211" t="str">
            <v>Max-Naumann-Strasse 1</v>
          </cell>
        </row>
        <row r="211">
          <cell r="K211" t="str">
            <v>Achim</v>
          </cell>
          <cell r="L211" t="str">
            <v>Niedersachsen</v>
          </cell>
          <cell r="M211" t="str">
            <v>DE</v>
          </cell>
          <cell r="N211" t="str">
            <v>28832</v>
          </cell>
        </row>
        <row r="212">
          <cell r="A212" t="str">
            <v>XWR3</v>
          </cell>
          <cell r="B212" t="str">
            <v>XWR3</v>
          </cell>
          <cell r="C212" t="str">
            <v>XWR3</v>
          </cell>
          <cell r="D212" t="str">
            <v>XWR3</v>
          </cell>
          <cell r="E212" t="str">
            <v>AMAZON</v>
          </cell>
          <cell r="F212" t="str">
            <v>0000000000</v>
          </cell>
        </row>
        <row r="212">
          <cell r="H212" t="str">
            <v>Hamburger Str. 99</v>
          </cell>
        </row>
        <row r="212">
          <cell r="K212" t="str">
            <v>Nuernberg</v>
          </cell>
          <cell r="L212" t="str">
            <v>Bavaria</v>
          </cell>
          <cell r="M212" t="str">
            <v>DE</v>
          </cell>
          <cell r="N212" t="str">
            <v>90451</v>
          </cell>
        </row>
        <row r="213">
          <cell r="A213" t="str">
            <v>LEJ5</v>
          </cell>
          <cell r="B213" t="str">
            <v>LEJ5</v>
          </cell>
          <cell r="C213" t="str">
            <v>LEJ5</v>
          </cell>
          <cell r="D213" t="str">
            <v>LEJ5</v>
          </cell>
          <cell r="E213" t="str">
            <v>AMAZON</v>
          </cell>
          <cell r="F213" t="str">
            <v>0000000000</v>
          </cell>
        </row>
        <row r="213">
          <cell r="H213" t="str">
            <v>Am Steingarten 2</v>
          </cell>
        </row>
        <row r="213">
          <cell r="K213" t="str">
            <v>GERA</v>
          </cell>
          <cell r="L213" t="str">
            <v>Thüringen</v>
          </cell>
          <cell r="M213" t="str">
            <v>DE</v>
          </cell>
          <cell r="N213" t="str">
            <v>7554</v>
          </cell>
        </row>
        <row r="214">
          <cell r="A214" t="str">
            <v>STR2</v>
          </cell>
          <cell r="B214" t="str">
            <v>STR2</v>
          </cell>
          <cell r="C214" t="str">
            <v>STR2</v>
          </cell>
          <cell r="D214" t="str">
            <v>STR2</v>
          </cell>
          <cell r="E214" t="str">
            <v>AMAZON</v>
          </cell>
          <cell r="F214" t="str">
            <v>0000000000</v>
          </cell>
        </row>
        <row r="214">
          <cell r="H214" t="str">
            <v>Oggenhauser Hauptstrasse 151</v>
          </cell>
        </row>
        <row r="214">
          <cell r="K214" t="str">
            <v>Heindenheim an der Brenz</v>
          </cell>
          <cell r="L214" t="str">
            <v>Baden Wurttemberg</v>
          </cell>
          <cell r="M214" t="str">
            <v>DE</v>
          </cell>
          <cell r="N214" t="str">
            <v>89522</v>
          </cell>
        </row>
        <row r="215">
          <cell r="A215" t="str">
            <v>XPO1</v>
          </cell>
          <cell r="B215" t="str">
            <v>XPO1</v>
          </cell>
          <cell r="C215" t="str">
            <v>XPO1</v>
          </cell>
          <cell r="D215" t="str">
            <v>XPO1</v>
          </cell>
          <cell r="E215" t="str">
            <v>AMAZON</v>
          </cell>
          <cell r="F215" t="str">
            <v>0000000000</v>
          </cell>
        </row>
        <row r="215">
          <cell r="H215" t="str">
            <v>Hamburger Str. 99</v>
          </cell>
        </row>
        <row r="215">
          <cell r="K215" t="str">
            <v>Nuernberg</v>
          </cell>
          <cell r="L215" t="str">
            <v>Bavaria</v>
          </cell>
          <cell r="M215" t="str">
            <v>DE</v>
          </cell>
          <cell r="N215" t="str">
            <v>90451</v>
          </cell>
        </row>
        <row r="216">
          <cell r="A216" t="str">
            <v>DTM2-44145</v>
          </cell>
          <cell r="B216" t="str">
            <v>DTM2-44145</v>
          </cell>
          <cell r="C216" t="str">
            <v>DTM2-44145</v>
          </cell>
          <cell r="D216" t="str">
            <v>DTM2-44145</v>
          </cell>
          <cell r="E216" t="str">
            <v>AMAZON</v>
          </cell>
          <cell r="F216" t="str">
            <v>0000000000</v>
          </cell>
        </row>
        <row r="216">
          <cell r="H216" t="str">
            <v>Kaltbandstrasse 4</v>
          </cell>
        </row>
        <row r="216">
          <cell r="K216" t="str">
            <v>Dortmund</v>
          </cell>
          <cell r="L216" t="str">
            <v>Nordrhein-Westfalen</v>
          </cell>
          <cell r="M216" t="str">
            <v>DE</v>
          </cell>
          <cell r="N216" t="str">
            <v>44145</v>
          </cell>
        </row>
        <row r="217">
          <cell r="A217" t="str">
            <v>LCJ2-</v>
          </cell>
          <cell r="B217" t="str">
            <v>LCJ2-</v>
          </cell>
          <cell r="C217" t="str">
            <v>LCJ2-</v>
          </cell>
          <cell r="D217" t="str">
            <v>LCJ2-</v>
          </cell>
          <cell r="E217" t="str">
            <v>AMAZON</v>
          </cell>
          <cell r="F217" t="str">
            <v>0000000000</v>
          </cell>
        </row>
        <row r="217">
          <cell r="H217" t="str">
            <v>Hamburger Str.99</v>
          </cell>
        </row>
        <row r="217">
          <cell r="K217" t="str">
            <v>Nuernberg</v>
          </cell>
          <cell r="L217" t="str">
            <v>Bavaria</v>
          </cell>
          <cell r="M217" t="str">
            <v>DE</v>
          </cell>
          <cell r="N217" t="str">
            <v>90451</v>
          </cell>
        </row>
        <row r="218">
          <cell r="A218" t="str">
            <v>XDEH</v>
          </cell>
          <cell r="B218" t="str">
            <v>XDEH</v>
          </cell>
          <cell r="C218" t="str">
            <v>XDEH</v>
          </cell>
          <cell r="D218" t="str">
            <v>XDEH</v>
          </cell>
          <cell r="E218" t="str">
            <v>AMAZON</v>
          </cell>
          <cell r="F218" t="str">
            <v>0000000000</v>
          </cell>
        </row>
        <row r="218">
          <cell r="H218" t="str">
            <v>Industriegebiet Alsberg</v>
          </cell>
        </row>
        <row r="218">
          <cell r="K218" t="str">
            <v>Rennerod</v>
          </cell>
          <cell r="L218" t="str">
            <v>Rheinland-Pfalz</v>
          </cell>
          <cell r="M218" t="str">
            <v>DE</v>
          </cell>
          <cell r="N218" t="str">
            <v>56477</v>
          </cell>
        </row>
        <row r="219">
          <cell r="A219" t="str">
            <v>XDR1</v>
          </cell>
          <cell r="B219" t="str">
            <v>XDR1</v>
          </cell>
          <cell r="C219" t="str">
            <v>XDR1</v>
          </cell>
          <cell r="D219" t="str">
            <v>XDR1</v>
          </cell>
          <cell r="E219" t="str">
            <v>AMAZON</v>
          </cell>
          <cell r="F219" t="str">
            <v>0000000000</v>
          </cell>
        </row>
        <row r="219">
          <cell r="H219" t="str">
            <v>Hamburger Str.99</v>
          </cell>
        </row>
        <row r="219">
          <cell r="K219" t="str">
            <v>Nürnberg</v>
          </cell>
          <cell r="L219" t="str">
            <v>Bavaria</v>
          </cell>
          <cell r="M219" t="str">
            <v>DE</v>
          </cell>
          <cell r="N219" t="str">
            <v>90451</v>
          </cell>
        </row>
        <row r="220">
          <cell r="A220" t="str">
            <v>BER6</v>
          </cell>
          <cell r="B220" t="str">
            <v>BER6</v>
          </cell>
          <cell r="C220" t="str">
            <v>BER6</v>
          </cell>
          <cell r="D220" t="str">
            <v>BER6</v>
          </cell>
          <cell r="E220" t="str">
            <v>AMAZON</v>
          </cell>
          <cell r="F220" t="str">
            <v>0000000000</v>
          </cell>
        </row>
        <row r="220">
          <cell r="H220" t="str">
            <v>Am Borsigturm 100</v>
          </cell>
        </row>
        <row r="220">
          <cell r="K220" t="str">
            <v>Berlin</v>
          </cell>
          <cell r="L220" t="str">
            <v>Berlin</v>
          </cell>
          <cell r="M220" t="str">
            <v>DE</v>
          </cell>
          <cell r="N220" t="str">
            <v>13507</v>
          </cell>
        </row>
        <row r="221">
          <cell r="A221" t="str">
            <v>YVR1</v>
          </cell>
          <cell r="B221" t="str">
            <v>YVR1</v>
          </cell>
          <cell r="C221" t="str">
            <v>YVR1</v>
          </cell>
          <cell r="D221" t="str">
            <v>YVR1</v>
          </cell>
          <cell r="E221" t="str">
            <v>AMAZON</v>
          </cell>
          <cell r="F221" t="str">
            <v>0000000000</v>
          </cell>
        </row>
        <row r="221">
          <cell r="H221" t="str">
            <v>450 Derwent PL Delta, British Columbia V3M 5Y9</v>
          </cell>
        </row>
        <row r="221">
          <cell r="K221" t="str">
            <v>Vancouver</v>
          </cell>
          <cell r="L221" t="str">
            <v>British Columbia</v>
          </cell>
          <cell r="M221" t="str">
            <v>CA</v>
          </cell>
          <cell r="N221" t="str">
            <v>V3M 5Y9</v>
          </cell>
        </row>
        <row r="222">
          <cell r="A222" t="str">
            <v>YYZ1</v>
          </cell>
          <cell r="B222" t="str">
            <v>YYZ1</v>
          </cell>
          <cell r="C222" t="str">
            <v>YYZ1</v>
          </cell>
          <cell r="D222" t="str">
            <v>YYZ1</v>
          </cell>
          <cell r="E222" t="str">
            <v>AMAZON</v>
          </cell>
          <cell r="F222" t="str">
            <v>0000000000</v>
          </cell>
        </row>
        <row r="222">
          <cell r="H222" t="str">
            <v>6363 Millcreek Drive</v>
          </cell>
        </row>
        <row r="222">
          <cell r="K222" t="str">
            <v>Mississauga</v>
          </cell>
          <cell r="L222" t="str">
            <v>ON</v>
          </cell>
          <cell r="M222" t="str">
            <v>CA</v>
          </cell>
          <cell r="N222" t="str">
            <v>L5N 1L8</v>
          </cell>
        </row>
        <row r="223">
          <cell r="A223" t="str">
            <v>YYZ2</v>
          </cell>
          <cell r="B223" t="str">
            <v>YYZ2</v>
          </cell>
          <cell r="C223" t="str">
            <v>YYZ2</v>
          </cell>
          <cell r="D223" t="str">
            <v>YYZ2</v>
          </cell>
          <cell r="E223" t="str">
            <v>AMAZON</v>
          </cell>
          <cell r="F223" t="str">
            <v>0000000000</v>
          </cell>
        </row>
        <row r="223">
          <cell r="H223" t="str">
            <v>2750 Peddie Rd.</v>
          </cell>
        </row>
        <row r="223">
          <cell r="K223" t="str">
            <v>Milton</v>
          </cell>
          <cell r="L223" t="str">
            <v>ON</v>
          </cell>
          <cell r="M223" t="str">
            <v>CA</v>
          </cell>
          <cell r="N223" t="str">
            <v>L9T 0K1</v>
          </cell>
        </row>
        <row r="224">
          <cell r="A224" t="str">
            <v>YYZ3</v>
          </cell>
          <cell r="B224" t="str">
            <v>YYZ3</v>
          </cell>
          <cell r="C224" t="str">
            <v>YYZ3</v>
          </cell>
          <cell r="D224" t="str">
            <v>YYZ3</v>
          </cell>
          <cell r="E224" t="str">
            <v>AMAZON</v>
          </cell>
          <cell r="F224" t="str">
            <v>0000000000</v>
          </cell>
        </row>
        <row r="224">
          <cell r="H224" t="str">
            <v>7995 Winston Churchill Blvd.</v>
          </cell>
        </row>
        <row r="224">
          <cell r="K224" t="str">
            <v>Brampton</v>
          </cell>
          <cell r="L224" t="str">
            <v>ON</v>
          </cell>
          <cell r="M224" t="str">
            <v>CA</v>
          </cell>
          <cell r="N224" t="str">
            <v>L6Y 5Z4</v>
          </cell>
        </row>
        <row r="225">
          <cell r="A225" t="str">
            <v>YYZ4</v>
          </cell>
          <cell r="B225" t="str">
            <v>YYZ4</v>
          </cell>
          <cell r="C225" t="str">
            <v>YYZ4</v>
          </cell>
          <cell r="D225" t="str">
            <v>YYZ4</v>
          </cell>
          <cell r="E225" t="str">
            <v>AMAZON</v>
          </cell>
          <cell r="F225" t="str">
            <v>0000000000</v>
          </cell>
        </row>
        <row r="225">
          <cell r="H225" t="str">
            <v>8050 Heritage Road</v>
          </cell>
        </row>
        <row r="225">
          <cell r="K225" t="str">
            <v>Brampton</v>
          </cell>
          <cell r="L225" t="str">
            <v>ON</v>
          </cell>
          <cell r="M225" t="str">
            <v>CA</v>
          </cell>
          <cell r="N225" t="str">
            <v>L6Y 0C9</v>
          </cell>
        </row>
        <row r="226">
          <cell r="A226" t="str">
            <v>YYZ6</v>
          </cell>
          <cell r="B226" t="str">
            <v>YYZ6</v>
          </cell>
          <cell r="C226" t="str">
            <v>YYZ6</v>
          </cell>
          <cell r="D226" t="str">
            <v>YYZ6</v>
          </cell>
          <cell r="E226" t="str">
            <v>AMAZON</v>
          </cell>
          <cell r="F226" t="str">
            <v>0000000000</v>
          </cell>
        </row>
        <row r="226">
          <cell r="H226" t="str">
            <v>8050 Heritage Road</v>
          </cell>
        </row>
        <row r="226">
          <cell r="K226" t="str">
            <v>Brampton</v>
          </cell>
          <cell r="L226" t="str">
            <v>ON</v>
          </cell>
          <cell r="M226" t="str">
            <v>CA</v>
          </cell>
          <cell r="N226" t="str">
            <v>L6Y 0C9</v>
          </cell>
        </row>
        <row r="227">
          <cell r="A227" t="str">
            <v>YVR3</v>
          </cell>
          <cell r="B227" t="str">
            <v>YVR3</v>
          </cell>
          <cell r="C227" t="str">
            <v>YVR3</v>
          </cell>
          <cell r="D227" t="str">
            <v>YVR3</v>
          </cell>
          <cell r="E227" t="str">
            <v>AMAZON</v>
          </cell>
          <cell r="F227" t="str">
            <v>0000000000</v>
          </cell>
        </row>
        <row r="227">
          <cell r="H227" t="str">
            <v>109 Braid Street</v>
          </cell>
        </row>
        <row r="227">
          <cell r="K227" t="str">
            <v>New Westminster</v>
          </cell>
          <cell r="L227" t="str">
            <v>BC</v>
          </cell>
          <cell r="M227" t="str">
            <v>CA</v>
          </cell>
          <cell r="N227" t="str">
            <v>V3L5H4</v>
          </cell>
        </row>
        <row r="228">
          <cell r="A228" t="str">
            <v>YVR2</v>
          </cell>
          <cell r="B228" t="str">
            <v>YVR2</v>
          </cell>
          <cell r="C228" t="str">
            <v>YVR2</v>
          </cell>
          <cell r="D228" t="str">
            <v>YVR2</v>
          </cell>
          <cell r="E228" t="str">
            <v>AMAZON</v>
          </cell>
          <cell r="F228" t="str">
            <v>0000000000</v>
          </cell>
        </row>
        <row r="228">
          <cell r="H228" t="str">
            <v>450 Derwent PL Delta</v>
          </cell>
        </row>
        <row r="228">
          <cell r="K228" t="str">
            <v>Delta</v>
          </cell>
          <cell r="L228" t="str">
            <v>BC</v>
          </cell>
          <cell r="M228" t="str">
            <v>CA</v>
          </cell>
          <cell r="N228" t="str">
            <v>V3M 5Y9</v>
          </cell>
        </row>
        <row r="229">
          <cell r="A229" t="str">
            <v>YVR4</v>
          </cell>
          <cell r="B229" t="str">
            <v>YVR4</v>
          </cell>
          <cell r="C229" t="str">
            <v>YVR4</v>
          </cell>
          <cell r="D229" t="str">
            <v>YVR4</v>
          </cell>
          <cell r="E229" t="str">
            <v>AMAZON</v>
          </cell>
          <cell r="F229" t="str">
            <v>0000000000</v>
          </cell>
        </row>
        <row r="229">
          <cell r="H229" t="str">
            <v>4189 Salish Sea Way</v>
          </cell>
        </row>
        <row r="229">
          <cell r="K229" t="str">
            <v>Tsawwassen</v>
          </cell>
          <cell r="L229" t="str">
            <v>BC</v>
          </cell>
          <cell r="M229" t="str">
            <v>CA</v>
          </cell>
          <cell r="N229" t="str">
            <v>V4M 0B9</v>
          </cell>
        </row>
        <row r="230">
          <cell r="A230" t="str">
            <v>YYC1-0E0</v>
          </cell>
          <cell r="B230" t="str">
            <v>YYC1-0E0</v>
          </cell>
          <cell r="C230" t="str">
            <v>YYC1-0E0</v>
          </cell>
          <cell r="D230" t="str">
            <v>YYC1-0E0</v>
          </cell>
          <cell r="E230" t="str">
            <v>AMAZON</v>
          </cell>
          <cell r="F230" t="str">
            <v>0000000000</v>
          </cell>
        </row>
        <row r="230">
          <cell r="H230" t="str">
            <v>Col Robertson Wy and Crossiron Blvd</v>
          </cell>
        </row>
        <row r="230">
          <cell r="K230" t="str">
            <v>Calgary</v>
          </cell>
          <cell r="L230" t="str">
            <v>AB</v>
          </cell>
          <cell r="M230" t="str">
            <v>CA</v>
          </cell>
          <cell r="N230" t="str">
            <v>T0M 0E0</v>
          </cell>
        </row>
        <row r="231">
          <cell r="A231" t="str">
            <v>YYC1</v>
          </cell>
          <cell r="B231" t="str">
            <v>YYC1</v>
          </cell>
          <cell r="C231" t="str">
            <v>YYC1</v>
          </cell>
          <cell r="D231" t="str">
            <v>YYC1</v>
          </cell>
          <cell r="E231" t="str">
            <v>AMAZON</v>
          </cell>
          <cell r="F231" t="str">
            <v>0000000000</v>
          </cell>
        </row>
        <row r="231">
          <cell r="H231" t="str">
            <v>293069 Colonel Robertson Way</v>
          </cell>
        </row>
        <row r="231">
          <cell r="K231" t="str">
            <v>Calgary</v>
          </cell>
          <cell r="L231" t="str">
            <v>AB</v>
          </cell>
          <cell r="M231" t="str">
            <v>CA</v>
          </cell>
          <cell r="N231" t="str">
            <v>T4A 1C6</v>
          </cell>
        </row>
        <row r="232">
          <cell r="A232" t="str">
            <v>YOW1</v>
          </cell>
          <cell r="B232" t="str">
            <v>YOW1</v>
          </cell>
          <cell r="C232" t="str">
            <v>YOW1</v>
          </cell>
          <cell r="D232" t="str">
            <v>YOW1</v>
          </cell>
          <cell r="E232" t="str">
            <v>AMAZON</v>
          </cell>
          <cell r="F232" t="str">
            <v>0000000000</v>
          </cell>
        </row>
        <row r="232">
          <cell r="H232" t="str">
            <v>5225 Boundary Road</v>
          </cell>
        </row>
        <row r="232">
          <cell r="K232" t="str">
            <v>Navan</v>
          </cell>
          <cell r="L232" t="str">
            <v>ON</v>
          </cell>
          <cell r="M232" t="str">
            <v>CA</v>
          </cell>
          <cell r="N232" t="str">
            <v>K4B 0L3</v>
          </cell>
        </row>
        <row r="233">
          <cell r="A233" t="str">
            <v>YYZ7</v>
          </cell>
          <cell r="B233" t="str">
            <v>YYZ7</v>
          </cell>
          <cell r="C233" t="str">
            <v>YYZ7</v>
          </cell>
          <cell r="D233" t="str">
            <v>YYZ7</v>
          </cell>
          <cell r="E233" t="str">
            <v>AMAZON</v>
          </cell>
          <cell r="F233" t="str">
            <v>0000000000</v>
          </cell>
        </row>
        <row r="233">
          <cell r="H233" t="str">
            <v>12724 Coleraine Drive Bolton ON L7E 4L8</v>
          </cell>
        </row>
        <row r="233">
          <cell r="K233" t="str">
            <v>Bolton</v>
          </cell>
          <cell r="L233" t="str">
            <v>ON</v>
          </cell>
          <cell r="M233" t="str">
            <v>CA</v>
          </cell>
          <cell r="N233" t="str">
            <v>L7E 4L8</v>
          </cell>
        </row>
        <row r="234">
          <cell r="A234" t="str">
            <v>YYZ9</v>
          </cell>
          <cell r="B234" t="str">
            <v>YYZ9</v>
          </cell>
          <cell r="C234" t="str">
            <v>YYZ9</v>
          </cell>
          <cell r="D234" t="str">
            <v>YYZ9</v>
          </cell>
          <cell r="E234" t="str">
            <v>AMAZON</v>
          </cell>
          <cell r="F234" t="str">
            <v>0000000000</v>
          </cell>
        </row>
        <row r="234">
          <cell r="H234" t="str">
            <v>6351 Steeles Ave E</v>
          </cell>
        </row>
        <row r="234">
          <cell r="K234" t="str">
            <v>Scarborough</v>
          </cell>
          <cell r="L234" t="str">
            <v>ON</v>
          </cell>
          <cell r="M234" t="str">
            <v>CA</v>
          </cell>
          <cell r="N234" t="str">
            <v>M1X 1N5</v>
          </cell>
        </row>
        <row r="235">
          <cell r="A235" t="str">
            <v>YEG1</v>
          </cell>
          <cell r="B235" t="str">
            <v>YEG1</v>
          </cell>
          <cell r="C235" t="str">
            <v>YEG1</v>
          </cell>
          <cell r="D235" t="str">
            <v>YEG1</v>
          </cell>
          <cell r="E235" t="str">
            <v>AMAZON</v>
          </cell>
          <cell r="F235" t="str">
            <v>0000000000</v>
          </cell>
        </row>
        <row r="235">
          <cell r="H235" t="str">
            <v>1440 39 AVE</v>
          </cell>
        </row>
        <row r="235">
          <cell r="K235" t="str">
            <v>Nisku</v>
          </cell>
          <cell r="L235" t="str">
            <v>AB</v>
          </cell>
          <cell r="M235" t="str">
            <v>CA</v>
          </cell>
          <cell r="N235" t="str">
            <v>T9E 0B4</v>
          </cell>
        </row>
        <row r="236">
          <cell r="A236" t="str">
            <v>YXX2</v>
          </cell>
          <cell r="B236" t="str">
            <v>YXX2</v>
          </cell>
          <cell r="C236" t="str">
            <v>YXX2</v>
          </cell>
          <cell r="D236" t="str">
            <v>YXX2</v>
          </cell>
          <cell r="E236" t="str">
            <v>AMAZON</v>
          </cell>
          <cell r="F236" t="str">
            <v>0000000000</v>
          </cell>
        </row>
        <row r="236">
          <cell r="H236" t="str">
            <v>16131 Blundell Road</v>
          </cell>
        </row>
        <row r="236">
          <cell r="K236" t="str">
            <v>Richmond</v>
          </cell>
          <cell r="L236" t="str">
            <v>BC</v>
          </cell>
          <cell r="M236" t="str">
            <v>CA</v>
          </cell>
          <cell r="N236" t="str">
            <v>V6W 0A3</v>
          </cell>
        </row>
        <row r="237">
          <cell r="A237" t="str">
            <v>YHM1</v>
          </cell>
          <cell r="B237" t="str">
            <v>YHM1</v>
          </cell>
          <cell r="C237" t="str">
            <v>YHM1</v>
          </cell>
          <cell r="D237" t="str">
            <v>YHM1</v>
          </cell>
          <cell r="E237" t="str">
            <v>AMAZON</v>
          </cell>
          <cell r="F237" t="str">
            <v>0000000000</v>
          </cell>
        </row>
        <row r="237">
          <cell r="H237" t="str">
            <v>110 Aeropark Blvd</v>
          </cell>
        </row>
        <row r="237">
          <cell r="K237" t="str">
            <v>MOUNT HOPE</v>
          </cell>
          <cell r="L237" t="str">
            <v>ON</v>
          </cell>
          <cell r="M237" t="str">
            <v>CA</v>
          </cell>
          <cell r="N237" t="str">
            <v>L0R 1W1</v>
          </cell>
        </row>
        <row r="238">
          <cell r="A238" t="str">
            <v>YOW3</v>
          </cell>
          <cell r="B238" t="str">
            <v>YOW3</v>
          </cell>
          <cell r="C238" t="str">
            <v>YOW3</v>
          </cell>
          <cell r="D238" t="str">
            <v>YOW3</v>
          </cell>
          <cell r="E238" t="str">
            <v>AMAZON</v>
          </cell>
          <cell r="F238" t="str">
            <v>0000000000</v>
          </cell>
        </row>
        <row r="238">
          <cell r="H238" t="str">
            <v>222 Citigate Drive</v>
          </cell>
        </row>
        <row r="238">
          <cell r="K238" t="str">
            <v>NEPEAN</v>
          </cell>
          <cell r="L238" t="str">
            <v>ON</v>
          </cell>
          <cell r="M238" t="str">
            <v>CA</v>
          </cell>
          <cell r="N238" t="str">
            <v>K2J 7C7</v>
          </cell>
        </row>
        <row r="239">
          <cell r="A239" t="str">
            <v>BHX1</v>
          </cell>
          <cell r="B239" t="str">
            <v>BHX1</v>
          </cell>
          <cell r="C239" t="str">
            <v>BHX1</v>
          </cell>
          <cell r="D239" t="str">
            <v>BHX1</v>
          </cell>
          <cell r="E239" t="str">
            <v>AMAZON</v>
          </cell>
          <cell r="F239" t="str">
            <v>0000000000</v>
          </cell>
        </row>
        <row r="239">
          <cell r="H239" t="str">
            <v>Towers Business Park Power Station Road</v>
          </cell>
        </row>
        <row r="239">
          <cell r="K239" t="str">
            <v>RUGELEY</v>
          </cell>
          <cell r="L239" t="str">
            <v>RUGELEY</v>
          </cell>
          <cell r="M239" t="str">
            <v>GB</v>
          </cell>
          <cell r="N239" t="str">
            <v>WS15 1LX</v>
          </cell>
        </row>
        <row r="240">
          <cell r="A240" t="str">
            <v>BHX2</v>
          </cell>
          <cell r="B240" t="str">
            <v>BHX2</v>
          </cell>
          <cell r="C240" t="str">
            <v>BHX2</v>
          </cell>
          <cell r="D240" t="str">
            <v>BHX2</v>
          </cell>
          <cell r="E240" t="str">
            <v>AMAZON</v>
          </cell>
          <cell r="F240" t="str">
            <v>0000000000</v>
          </cell>
        </row>
        <row r="240">
          <cell r="H240" t="str">
            <v>Robson Way Leicestershire</v>
          </cell>
        </row>
        <row r="240">
          <cell r="K240" t="str">
            <v>COALVILLE</v>
          </cell>
          <cell r="L240" t="str">
            <v>COALVILLE</v>
          </cell>
          <cell r="M240" t="str">
            <v>GB</v>
          </cell>
          <cell r="N240" t="str">
            <v>LE67 1GQ</v>
          </cell>
        </row>
        <row r="241">
          <cell r="A241" t="str">
            <v>BHX3</v>
          </cell>
          <cell r="B241" t="str">
            <v>BHX3</v>
          </cell>
          <cell r="C241" t="str">
            <v>BHX3</v>
          </cell>
          <cell r="D241" t="str">
            <v>BHX3</v>
          </cell>
          <cell r="E241" t="str">
            <v>AMAZON</v>
          </cell>
          <cell r="F241" t="str">
            <v>0000000000</v>
          </cell>
        </row>
        <row r="241">
          <cell r="H241" t="str">
            <v>4 Royal Oak Way North Daventry</v>
          </cell>
        </row>
        <row r="241">
          <cell r="K241" t="str">
            <v>Northamptonshire</v>
          </cell>
          <cell r="L241" t="str">
            <v>Northamptonshire</v>
          </cell>
          <cell r="M241" t="str">
            <v>GB</v>
          </cell>
          <cell r="N241" t="str">
            <v>NN11 8QL</v>
          </cell>
        </row>
        <row r="242">
          <cell r="A242" t="str">
            <v>BHX4</v>
          </cell>
          <cell r="B242" t="str">
            <v>BHX4</v>
          </cell>
          <cell r="C242" t="str">
            <v>BHX4</v>
          </cell>
          <cell r="D242" t="str">
            <v>BHX4</v>
          </cell>
          <cell r="E242" t="str">
            <v>AMAZON</v>
          </cell>
          <cell r="F242" t="str">
            <v>0000000000</v>
          </cell>
        </row>
        <row r="242">
          <cell r="H242" t="str">
            <v>Plot 1, Lyons Park, Sayer Dr</v>
          </cell>
        </row>
        <row r="242">
          <cell r="K242" t="str">
            <v>Coventry</v>
          </cell>
          <cell r="L242" t="str">
            <v>West Midlands</v>
          </cell>
          <cell r="M242" t="str">
            <v>GB</v>
          </cell>
          <cell r="N242" t="str">
            <v>CV5 9PF</v>
          </cell>
        </row>
        <row r="243">
          <cell r="A243" t="str">
            <v>BHX5</v>
          </cell>
          <cell r="B243" t="str">
            <v>BHX5</v>
          </cell>
          <cell r="C243" t="str">
            <v>BHX5</v>
          </cell>
          <cell r="D243" t="str">
            <v>BHX5</v>
          </cell>
          <cell r="E243" t="str">
            <v>AMAZON</v>
          </cell>
          <cell r="F243" t="str">
            <v>0000000000</v>
          </cell>
        </row>
        <row r="243">
          <cell r="H243" t="str">
            <v>Unit 3 Rugby</v>
          </cell>
        </row>
        <row r="243">
          <cell r="K243" t="str">
            <v>West Midlands</v>
          </cell>
          <cell r="L243" t="str">
            <v>West Midlands</v>
          </cell>
          <cell r="M243" t="str">
            <v>GB</v>
          </cell>
          <cell r="N243" t="str">
            <v>CV23 0XF</v>
          </cell>
        </row>
        <row r="244">
          <cell r="A244" t="str">
            <v>BRS1</v>
          </cell>
          <cell r="B244" t="str">
            <v>BRS1</v>
          </cell>
          <cell r="C244" t="str">
            <v>BRS1</v>
          </cell>
          <cell r="D244" t="str">
            <v>BRS1</v>
          </cell>
          <cell r="E244" t="str">
            <v>AMAZON</v>
          </cell>
          <cell r="F244" t="str">
            <v>0000000000</v>
          </cell>
        </row>
        <row r="244">
          <cell r="H244" t="str">
            <v>Goldcrest Way  Bristol, South West</v>
          </cell>
        </row>
        <row r="244">
          <cell r="K244" t="str">
            <v>Bristol</v>
          </cell>
          <cell r="L244" t="str">
            <v>Bristol</v>
          </cell>
          <cell r="M244" t="str">
            <v>GB</v>
          </cell>
          <cell r="N244" t="str">
            <v>BS35 4DJ</v>
          </cell>
        </row>
        <row r="245">
          <cell r="A245" t="str">
            <v>CWL1</v>
          </cell>
          <cell r="B245" t="str">
            <v>CWL1</v>
          </cell>
          <cell r="C245" t="str">
            <v>CWL1</v>
          </cell>
          <cell r="D245" t="str">
            <v>CWL1</v>
          </cell>
          <cell r="E245" t="str">
            <v>AMAZON</v>
          </cell>
          <cell r="F245" t="str">
            <v>0000000000</v>
          </cell>
        </row>
        <row r="245">
          <cell r="H245" t="str">
            <v>Ffordd Amazon Swansea， Wales</v>
          </cell>
        </row>
        <row r="245">
          <cell r="K245" t="str">
            <v>Swansea</v>
          </cell>
          <cell r="L245" t="str">
            <v>Wales</v>
          </cell>
          <cell r="M245" t="str">
            <v>GB</v>
          </cell>
          <cell r="N245" t="str">
            <v>SA1 8QX</v>
          </cell>
        </row>
        <row r="246">
          <cell r="A246" t="str">
            <v>CWL1-1</v>
          </cell>
          <cell r="B246" t="str">
            <v>CWL1-1</v>
          </cell>
          <cell r="C246" t="str">
            <v>CWL1-1</v>
          </cell>
          <cell r="D246" t="str">
            <v>CWL1-1</v>
          </cell>
          <cell r="E246" t="str">
            <v>AMAZON</v>
          </cell>
          <cell r="F246" t="str">
            <v>0000000000</v>
          </cell>
        </row>
        <row r="246">
          <cell r="H246" t="str">
            <v>Ffordd Amazon Swansea， Wales</v>
          </cell>
        </row>
        <row r="246">
          <cell r="K246" t="str">
            <v>Swansea</v>
          </cell>
          <cell r="L246" t="str">
            <v>Wales</v>
          </cell>
          <cell r="M246" t="str">
            <v>GB</v>
          </cell>
          <cell r="N246" t="str">
            <v>SA1 8QX</v>
          </cell>
        </row>
        <row r="247">
          <cell r="A247" t="str">
            <v>EDI4</v>
          </cell>
          <cell r="B247" t="str">
            <v>EDI4</v>
          </cell>
          <cell r="C247" t="str">
            <v>EDI4</v>
          </cell>
          <cell r="D247" t="str">
            <v>EDI4</v>
          </cell>
          <cell r="E247" t="str">
            <v>AMAZON</v>
          </cell>
          <cell r="F247" t="str">
            <v>0000000000</v>
          </cell>
        </row>
        <row r="247">
          <cell r="H247" t="str">
            <v>Amazon Way Dunfermline</v>
          </cell>
        </row>
        <row r="247">
          <cell r="K247" t="str">
            <v>Dunfermline</v>
          </cell>
          <cell r="L247" t="str">
            <v>Dunfermline</v>
          </cell>
          <cell r="M247" t="str">
            <v>GB</v>
          </cell>
          <cell r="N247" t="str">
            <v>KY11 8ST</v>
          </cell>
        </row>
        <row r="248">
          <cell r="A248" t="str">
            <v>EMA1</v>
          </cell>
          <cell r="B248" t="str">
            <v>EMA1</v>
          </cell>
          <cell r="C248" t="str">
            <v>EMA1</v>
          </cell>
          <cell r="D248" t="str">
            <v>EMA1</v>
          </cell>
          <cell r="E248" t="str">
            <v>AMAZON</v>
          </cell>
          <cell r="F248" t="str">
            <v>0000000000</v>
          </cell>
        </row>
        <row r="248">
          <cell r="H248" t="str">
            <v>Unit 1, Wilders Way, England DERBY</v>
          </cell>
        </row>
        <row r="248">
          <cell r="K248" t="str">
            <v>England</v>
          </cell>
          <cell r="L248" t="str">
            <v>England</v>
          </cell>
          <cell r="M248" t="str">
            <v>GB</v>
          </cell>
          <cell r="N248" t="str">
            <v>DE74 2BB</v>
          </cell>
        </row>
        <row r="249">
          <cell r="A249" t="str">
            <v>EUK5</v>
          </cell>
          <cell r="B249" t="str">
            <v>EUK5</v>
          </cell>
          <cell r="C249" t="str">
            <v>EUK5</v>
          </cell>
          <cell r="D249" t="str">
            <v>EUK5</v>
          </cell>
          <cell r="E249" t="str">
            <v>AMAZON</v>
          </cell>
          <cell r="F249" t="str">
            <v>0000000000</v>
          </cell>
        </row>
        <row r="249">
          <cell r="H249" t="str">
            <v>Phase Two, Kingston Park Flaxley Road</v>
          </cell>
        </row>
        <row r="249">
          <cell r="K249" t="str">
            <v>Peterborough</v>
          </cell>
          <cell r="L249" t="str">
            <v>Peterborough</v>
          </cell>
          <cell r="M249" t="str">
            <v>GB</v>
          </cell>
          <cell r="N249" t="str">
            <v>PE2 9EN</v>
          </cell>
        </row>
        <row r="250">
          <cell r="A250" t="str">
            <v>EUKA</v>
          </cell>
          <cell r="B250" t="str">
            <v>EUKA</v>
          </cell>
          <cell r="C250" t="str">
            <v>EUKA</v>
          </cell>
          <cell r="D250" t="str">
            <v>EUKA</v>
          </cell>
          <cell r="E250" t="str">
            <v>AMAZON</v>
          </cell>
          <cell r="F250" t="str">
            <v>0000000000</v>
          </cell>
        </row>
        <row r="250">
          <cell r="H250" t="str">
            <v>UNO UK，Units 9-10 Manasty Rd</v>
          </cell>
        </row>
        <row r="250">
          <cell r="K250" t="str">
            <v>ORTON SOUTHGATE</v>
          </cell>
          <cell r="L250" t="str">
            <v>ORTON SOUTHGATE</v>
          </cell>
          <cell r="M250" t="str">
            <v>GB</v>
          </cell>
          <cell r="N250" t="str">
            <v>PE2 6UG</v>
          </cell>
        </row>
        <row r="251">
          <cell r="A251" t="str">
            <v>EUKB</v>
          </cell>
          <cell r="B251" t="str">
            <v>EUKB</v>
          </cell>
          <cell r="C251" t="str">
            <v>EUKB</v>
          </cell>
          <cell r="D251" t="str">
            <v>EUKB</v>
          </cell>
          <cell r="E251" t="str">
            <v>AMAZON</v>
          </cell>
          <cell r="F251" t="str">
            <v>0000000000</v>
          </cell>
        </row>
        <row r="251">
          <cell r="H251" t="str">
            <v>Unit 12, Overton Park, Holkham Road</v>
          </cell>
        </row>
        <row r="251">
          <cell r="K251" t="str">
            <v>Peterborough</v>
          </cell>
          <cell r="L251" t="str">
            <v>Peterborough</v>
          </cell>
          <cell r="M251" t="str">
            <v>GB</v>
          </cell>
          <cell r="N251" t="str">
            <v>PE2 6TE</v>
          </cell>
        </row>
        <row r="252">
          <cell r="A252" t="str">
            <v>EUKC</v>
          </cell>
          <cell r="B252" t="str">
            <v>EUKC</v>
          </cell>
          <cell r="C252" t="str">
            <v>EUKC</v>
          </cell>
          <cell r="D252" t="str">
            <v>EUKC</v>
          </cell>
          <cell r="E252" t="str">
            <v>AMAZON</v>
          </cell>
          <cell r="F252" t="str">
            <v>0000000000</v>
          </cell>
        </row>
        <row r="252">
          <cell r="H252" t="str">
            <v>Unit 1, Balby Carr bank</v>
          </cell>
        </row>
        <row r="252">
          <cell r="K252" t="str">
            <v>Doncaster</v>
          </cell>
          <cell r="L252" t="str">
            <v>Doncaster</v>
          </cell>
          <cell r="M252" t="str">
            <v>GB</v>
          </cell>
          <cell r="N252" t="str">
            <v>DN4 5JS</v>
          </cell>
        </row>
        <row r="253">
          <cell r="A253" t="str">
            <v>GLA1</v>
          </cell>
          <cell r="B253" t="str">
            <v>GLA1</v>
          </cell>
          <cell r="C253" t="str">
            <v>GLA1</v>
          </cell>
          <cell r="D253" t="str">
            <v>GLA1</v>
          </cell>
          <cell r="E253" t="str">
            <v>AMAZON</v>
          </cell>
          <cell r="F253" t="str">
            <v>0000000000</v>
          </cell>
        </row>
        <row r="253">
          <cell r="H253" t="str">
            <v>2 Cloch Road Faulds Park</v>
          </cell>
        </row>
        <row r="253">
          <cell r="K253" t="str">
            <v>Gourock</v>
          </cell>
          <cell r="L253" t="str">
            <v>Inverclyde</v>
          </cell>
          <cell r="M253" t="str">
            <v>GB</v>
          </cell>
          <cell r="N253" t="str">
            <v>PA19 1BQ</v>
          </cell>
        </row>
        <row r="254">
          <cell r="A254" t="str">
            <v>LBA1</v>
          </cell>
          <cell r="B254" t="str">
            <v>LBA1</v>
          </cell>
          <cell r="C254" t="str">
            <v>LBA1</v>
          </cell>
          <cell r="D254" t="str">
            <v>LBA1</v>
          </cell>
          <cell r="E254" t="str">
            <v>AMAZON</v>
          </cell>
          <cell r="F254" t="str">
            <v>0000000000</v>
          </cell>
        </row>
        <row r="254">
          <cell r="H254" t="str">
            <v>Unit 1 Balby Carr bank</v>
          </cell>
        </row>
        <row r="254">
          <cell r="K254" t="str">
            <v>DONCASTER</v>
          </cell>
          <cell r="L254" t="str">
            <v>DONCASTER</v>
          </cell>
          <cell r="M254" t="str">
            <v>GB</v>
          </cell>
          <cell r="N254" t="str">
            <v>DN4 5JS</v>
          </cell>
        </row>
        <row r="255">
          <cell r="A255" t="str">
            <v>LBA2</v>
          </cell>
          <cell r="B255" t="str">
            <v>LBA2</v>
          </cell>
          <cell r="C255" t="str">
            <v>LBA2</v>
          </cell>
          <cell r="D255" t="str">
            <v>LBA2</v>
          </cell>
          <cell r="E255" t="str">
            <v>AMAZON</v>
          </cell>
          <cell r="F255" t="str">
            <v>0000000000</v>
          </cell>
        </row>
        <row r="255">
          <cell r="H255" t="str">
            <v>Unit 1 (IP1= Amazon) Iport Avenue</v>
          </cell>
        </row>
        <row r="255">
          <cell r="K255" t="str">
            <v>Doncaster</v>
          </cell>
          <cell r="L255" t="str">
            <v>Yorkshire and the Humber</v>
          </cell>
          <cell r="M255" t="str">
            <v>GB</v>
          </cell>
          <cell r="N255" t="str">
            <v>DN11 0BG</v>
          </cell>
        </row>
        <row r="256">
          <cell r="A256" t="str">
            <v>LCY2</v>
          </cell>
          <cell r="B256" t="str">
            <v>LCY2</v>
          </cell>
          <cell r="C256" t="str">
            <v>LCY2</v>
          </cell>
          <cell r="D256" t="str">
            <v>LCY2</v>
          </cell>
          <cell r="E256" t="str">
            <v>AMAZON</v>
          </cell>
          <cell r="F256" t="str">
            <v>0000000000</v>
          </cell>
        </row>
        <row r="256">
          <cell r="H256" t="str">
            <v>Amazon Distribution Depot Unit 2, London Distribution Park</v>
          </cell>
        </row>
        <row r="256">
          <cell r="K256" t="str">
            <v>Tilbury</v>
          </cell>
          <cell r="L256" t="str">
            <v>Tilbury</v>
          </cell>
          <cell r="M256" t="str">
            <v>GB</v>
          </cell>
          <cell r="N256" t="str">
            <v>RM18 7AN</v>
          </cell>
        </row>
        <row r="257">
          <cell r="A257" t="str">
            <v>LTN1</v>
          </cell>
          <cell r="B257" t="str">
            <v>LTN1</v>
          </cell>
          <cell r="C257" t="str">
            <v>LTN1</v>
          </cell>
          <cell r="D257" t="str">
            <v>LTN1</v>
          </cell>
          <cell r="E257" t="str">
            <v>AMAZON</v>
          </cell>
          <cell r="F257" t="str">
            <v>0000000000</v>
          </cell>
        </row>
        <row r="257">
          <cell r="H257" t="str">
            <v>Amazon.co.uk Marston Gate Fulfillment Centre Ridg</v>
          </cell>
        </row>
        <row r="257">
          <cell r="K257" t="str">
            <v>Ridgmont</v>
          </cell>
          <cell r="L257" t="str">
            <v>Bedfordshire</v>
          </cell>
          <cell r="M257" t="str">
            <v>GB</v>
          </cell>
          <cell r="N257" t="str">
            <v>MK43 0ZA</v>
          </cell>
        </row>
        <row r="258">
          <cell r="A258" t="str">
            <v>LTN2</v>
          </cell>
          <cell r="B258" t="str">
            <v>LTN2</v>
          </cell>
          <cell r="C258" t="str">
            <v>LTN2</v>
          </cell>
          <cell r="D258" t="str">
            <v>LTN2</v>
          </cell>
          <cell r="E258" t="str">
            <v>AMAZON</v>
          </cell>
          <cell r="F258" t="str">
            <v>0000000000</v>
          </cell>
        </row>
        <row r="258">
          <cell r="H258" t="str">
            <v>Boundary Way Hemel Hempstead Hertfordshire</v>
          </cell>
        </row>
        <row r="258">
          <cell r="K258" t="str">
            <v>Hemel Hempstead</v>
          </cell>
          <cell r="L258" t="str">
            <v>Hertfordshire</v>
          </cell>
          <cell r="M258" t="str">
            <v>GB</v>
          </cell>
          <cell r="N258" t="str">
            <v>HP27LF</v>
          </cell>
        </row>
        <row r="259">
          <cell r="A259" t="str">
            <v>LTN4</v>
          </cell>
          <cell r="B259" t="str">
            <v>LTN4</v>
          </cell>
          <cell r="C259" t="str">
            <v>LTN4</v>
          </cell>
          <cell r="D259" t="str">
            <v>LTN4</v>
          </cell>
          <cell r="E259" t="str">
            <v>AMAZON</v>
          </cell>
          <cell r="F259" t="str">
            <v>0000000000</v>
          </cell>
        </row>
        <row r="259">
          <cell r="H259" t="str">
            <v>Unit DC1 (Prologis) Boscombe Road</v>
          </cell>
        </row>
        <row r="259">
          <cell r="K259" t="str">
            <v>Dunstable</v>
          </cell>
          <cell r="L259" t="str">
            <v>Dunstable</v>
          </cell>
          <cell r="M259" t="str">
            <v>GB</v>
          </cell>
          <cell r="N259" t="str">
            <v>LU54FE</v>
          </cell>
        </row>
        <row r="260">
          <cell r="A260" t="str">
            <v>MAN1</v>
          </cell>
          <cell r="B260" t="str">
            <v>MAN1</v>
          </cell>
          <cell r="C260" t="str">
            <v>MAN1</v>
          </cell>
          <cell r="D260" t="str">
            <v>MAN1</v>
          </cell>
          <cell r="E260" t="str">
            <v>AMAZON</v>
          </cell>
          <cell r="F260" t="str">
            <v>0000000000</v>
          </cell>
        </row>
        <row r="260">
          <cell r="H260" t="str">
            <v>6 Sunbank Lane Airport City Altrincham</v>
          </cell>
        </row>
        <row r="260">
          <cell r="K260" t="str">
            <v>Manchester</v>
          </cell>
          <cell r="L260" t="str">
            <v>Manchester</v>
          </cell>
          <cell r="M260" t="str">
            <v>GB</v>
          </cell>
          <cell r="N260" t="str">
            <v>M90 5AA</v>
          </cell>
        </row>
        <row r="261">
          <cell r="A261" t="str">
            <v>MAN2</v>
          </cell>
          <cell r="B261" t="str">
            <v>MAN2</v>
          </cell>
          <cell r="C261" t="str">
            <v>MAN2</v>
          </cell>
          <cell r="D261" t="str">
            <v>MAN2</v>
          </cell>
          <cell r="E261" t="str">
            <v>AMAZON</v>
          </cell>
          <cell r="F261" t="str">
            <v>0000000000</v>
          </cell>
        </row>
        <row r="261">
          <cell r="H261" t="str">
            <v>Omega Plot 7c Orion Boulevard</v>
          </cell>
        </row>
        <row r="261">
          <cell r="K261" t="str">
            <v>Warrington</v>
          </cell>
          <cell r="L261" t="str">
            <v>North West England</v>
          </cell>
          <cell r="M261" t="str">
            <v>GB</v>
          </cell>
          <cell r="N261" t="str">
            <v>WA5 3XA</v>
          </cell>
        </row>
        <row r="262">
          <cell r="A262" t="str">
            <v>MAN3</v>
          </cell>
          <cell r="B262" t="str">
            <v>MAN3</v>
          </cell>
          <cell r="C262" t="str">
            <v>MAN3</v>
          </cell>
          <cell r="D262" t="str">
            <v>MAN3</v>
          </cell>
          <cell r="E262" t="str">
            <v>AMAZON</v>
          </cell>
          <cell r="F262" t="str">
            <v>0000000000</v>
          </cell>
        </row>
        <row r="262">
          <cell r="H262" t="str">
            <v>360 Logistics North, Over Hulton Bolton</v>
          </cell>
        </row>
        <row r="262">
          <cell r="K262" t="str">
            <v>Manchester</v>
          </cell>
          <cell r="L262" t="str">
            <v>Hulton Bolton</v>
          </cell>
          <cell r="M262" t="str">
            <v>GB</v>
          </cell>
          <cell r="N262" t="str">
            <v>BL5 1BT</v>
          </cell>
        </row>
        <row r="263">
          <cell r="A263" t="str">
            <v>MAN4</v>
          </cell>
          <cell r="B263" t="str">
            <v>MAN4</v>
          </cell>
          <cell r="C263" t="str">
            <v>MAN4</v>
          </cell>
          <cell r="D263" t="str">
            <v>MAN4</v>
          </cell>
          <cell r="E263" t="str">
            <v>AMAZON</v>
          </cell>
          <cell r="F263" t="str">
            <v>0000000000</v>
          </cell>
        </row>
        <row r="263">
          <cell r="H263" t="str">
            <v>29 Gander Lane CHESTERFIELD</v>
          </cell>
        </row>
        <row r="263">
          <cell r="K263" t="str">
            <v>Derbyshire</v>
          </cell>
          <cell r="L263" t="str">
            <v>Derbyshire</v>
          </cell>
          <cell r="M263" t="str">
            <v>GB</v>
          </cell>
          <cell r="N263" t="str">
            <v>S43 4PZ</v>
          </cell>
        </row>
        <row r="264">
          <cell r="A264" t="str">
            <v>SUUK</v>
          </cell>
          <cell r="B264" t="str">
            <v>SUUK</v>
          </cell>
          <cell r="C264" t="str">
            <v>SUUK</v>
          </cell>
          <cell r="D264" t="str">
            <v>SUUK</v>
          </cell>
          <cell r="E264" t="str">
            <v>AMAZON</v>
          </cell>
          <cell r="F264" t="str">
            <v>0000000000</v>
          </cell>
        </row>
        <row r="264">
          <cell r="H264" t="str">
            <v>115 Worship Street</v>
          </cell>
        </row>
        <row r="264">
          <cell r="K264" t="str">
            <v>London</v>
          </cell>
          <cell r="L264" t="str">
            <v>London</v>
          </cell>
          <cell r="M264" t="str">
            <v>GB</v>
          </cell>
          <cell r="N264" t="str">
            <v>EC2A 2BA</v>
          </cell>
        </row>
        <row r="265">
          <cell r="A265" t="str">
            <v>XUKD</v>
          </cell>
          <cell r="B265" t="str">
            <v>XUKD</v>
          </cell>
          <cell r="C265" t="str">
            <v>XUKD</v>
          </cell>
          <cell r="D265" t="str">
            <v>XUKD</v>
          </cell>
          <cell r="E265" t="str">
            <v>AMAZON</v>
          </cell>
          <cell r="F265" t="str">
            <v>0000000000</v>
          </cell>
        </row>
        <row r="265">
          <cell r="H265" t="str">
            <v>XPO Logistics,Unit A Daventry Distribution Centre</v>
          </cell>
        </row>
        <row r="265">
          <cell r="K265" t="str">
            <v>DAVENTRY</v>
          </cell>
          <cell r="L265" t="str">
            <v>DAVENTRY</v>
          </cell>
          <cell r="M265" t="str">
            <v>GB</v>
          </cell>
          <cell r="N265" t="str">
            <v>NN11 8LR</v>
          </cell>
        </row>
        <row r="266">
          <cell r="A266" t="str">
            <v>EUKD</v>
          </cell>
          <cell r="B266" t="str">
            <v>EUKD</v>
          </cell>
          <cell r="C266" t="str">
            <v>EUKD</v>
          </cell>
          <cell r="D266" t="str">
            <v>EUKD</v>
          </cell>
          <cell r="E266" t="str">
            <v>AMAZON</v>
          </cell>
          <cell r="F266" t="str">
            <v>0000000000</v>
          </cell>
        </row>
        <row r="266">
          <cell r="H266" t="str">
            <v>Amazon Fulfillment CenterFoundry Point, Halebank Industrial Estate,Foundry Lane</v>
          </cell>
        </row>
        <row r="266">
          <cell r="K266" t="str">
            <v>Widnes</v>
          </cell>
          <cell r="L266" t="str">
            <v>Cheshire</v>
          </cell>
          <cell r="M266" t="str">
            <v>GB</v>
          </cell>
          <cell r="N266" t="str">
            <v>WA8 8YN</v>
          </cell>
        </row>
        <row r="267">
          <cell r="A267" t="str">
            <v>MPCH</v>
          </cell>
          <cell r="B267" t="str">
            <v>MPCH</v>
          </cell>
          <cell r="C267" t="str">
            <v>MPCH</v>
          </cell>
          <cell r="D267" t="str">
            <v>MPCH</v>
          </cell>
          <cell r="E267" t="str">
            <v>AMAZON</v>
          </cell>
          <cell r="F267" t="str">
            <v>0000000000</v>
          </cell>
        </row>
        <row r="267">
          <cell r="H267" t="str">
            <v>Bankfield Enterprise Hub,Ground Floor ,32 Bankfield Street ,Bootle Merseyside L208EJ United Kingdom</v>
          </cell>
        </row>
        <row r="267">
          <cell r="K267" t="str">
            <v>Bootle</v>
          </cell>
          <cell r="L267" t="str">
            <v>Merseyside</v>
          </cell>
          <cell r="M267" t="str">
            <v>GB</v>
          </cell>
          <cell r="N267" t="str">
            <v>L208EJ</v>
          </cell>
        </row>
        <row r="268">
          <cell r="A268" t="str">
            <v>XBH1</v>
          </cell>
          <cell r="B268" t="str">
            <v>XBH1</v>
          </cell>
          <cell r="C268" t="str">
            <v>XBH1</v>
          </cell>
          <cell r="D268" t="str">
            <v>XBH1</v>
          </cell>
          <cell r="E268" t="str">
            <v>AMAZON</v>
          </cell>
          <cell r="F268" t="str">
            <v>0000000000</v>
          </cell>
        </row>
        <row r="268">
          <cell r="H268" t="str">
            <v>Unit A Daventry Distribution Centre，Royal Oak Way North.</v>
          </cell>
        </row>
        <row r="268">
          <cell r="K268" t="str">
            <v>Daventry</v>
          </cell>
          <cell r="L268" t="str">
            <v>Leicestershire</v>
          </cell>
          <cell r="M268" t="str">
            <v>GB</v>
          </cell>
          <cell r="N268" t="str">
            <v>NN11 8QL</v>
          </cell>
        </row>
        <row r="269">
          <cell r="A269" t="str">
            <v>DPD</v>
          </cell>
          <cell r="B269" t="str">
            <v>DPD</v>
          </cell>
          <cell r="C269" t="str">
            <v>DPD</v>
          </cell>
          <cell r="D269" t="str">
            <v>DPD</v>
          </cell>
          <cell r="E269" t="str">
            <v>AMAZON</v>
          </cell>
          <cell r="F269" t="str">
            <v>0000000000</v>
          </cell>
        </row>
        <row r="269">
          <cell r="H269" t="str">
            <v>Roebuck Lane</v>
          </cell>
        </row>
        <row r="269">
          <cell r="K269" t="str">
            <v>Smethwick</v>
          </cell>
          <cell r="L269" t="str">
            <v>West Midlands</v>
          </cell>
          <cell r="M269" t="str">
            <v>GB</v>
          </cell>
          <cell r="N269" t="str">
            <v>B66 1BY</v>
          </cell>
        </row>
        <row r="270">
          <cell r="A270" t="str">
            <v>MAN3-</v>
          </cell>
          <cell r="B270" t="str">
            <v>MAN3-</v>
          </cell>
          <cell r="C270" t="str">
            <v>MAN3-</v>
          </cell>
          <cell r="D270" t="str">
            <v>MAN3-</v>
          </cell>
          <cell r="E270" t="str">
            <v>AMAZON</v>
          </cell>
          <cell r="F270" t="str">
            <v>0000000000</v>
          </cell>
        </row>
        <row r="270">
          <cell r="H270" t="str">
            <v>360 Logistics North, Over Hulton Bolton</v>
          </cell>
        </row>
        <row r="270">
          <cell r="K270" t="str">
            <v>Manchester</v>
          </cell>
          <cell r="L270" t="str">
            <v>North West</v>
          </cell>
          <cell r="M270" t="str">
            <v>GB</v>
          </cell>
          <cell r="N270" t="str">
            <v>BL5 1EE</v>
          </cell>
        </row>
        <row r="271">
          <cell r="A271" t="str">
            <v>BHX2-</v>
          </cell>
          <cell r="B271" t="str">
            <v>BHX2-</v>
          </cell>
          <cell r="C271" t="str">
            <v>BHX2-</v>
          </cell>
          <cell r="D271" t="str">
            <v>BHX2-</v>
          </cell>
          <cell r="E271" t="str">
            <v>AMAZON</v>
          </cell>
          <cell r="F271" t="str">
            <v>0000000000</v>
          </cell>
        </row>
        <row r="271">
          <cell r="H271" t="str">
            <v>15B Beveridge Ln</v>
          </cell>
        </row>
        <row r="271">
          <cell r="K271" t="str">
            <v>COALVILLE</v>
          </cell>
          <cell r="L271" t="str">
            <v>Leicestershire</v>
          </cell>
          <cell r="M271" t="str">
            <v>GB</v>
          </cell>
          <cell r="N271" t="str">
            <v>LE67 1FB</v>
          </cell>
        </row>
        <row r="272">
          <cell r="A272" t="str">
            <v>LTN4-</v>
          </cell>
          <cell r="B272" t="str">
            <v>LTN4-</v>
          </cell>
          <cell r="C272" t="str">
            <v>LTN4-</v>
          </cell>
          <cell r="D272" t="str">
            <v>LTN4-</v>
          </cell>
          <cell r="E272" t="str">
            <v>AMAZON</v>
          </cell>
          <cell r="F272" t="str">
            <v>0000000000</v>
          </cell>
        </row>
        <row r="272">
          <cell r="H272" t="str">
            <v>Unit DC1 (Prologis) Boscombe Road</v>
          </cell>
        </row>
        <row r="272">
          <cell r="K272" t="str">
            <v>Dunstable</v>
          </cell>
          <cell r="L272" t="str">
            <v>Dunstable</v>
          </cell>
          <cell r="M272" t="str">
            <v>GB</v>
          </cell>
          <cell r="N272" t="str">
            <v>LU54TT</v>
          </cell>
        </row>
        <row r="273">
          <cell r="A273" t="str">
            <v>EUKD-</v>
          </cell>
          <cell r="B273" t="str">
            <v>EUKD-</v>
          </cell>
          <cell r="C273" t="str">
            <v>EUKD-</v>
          </cell>
          <cell r="D273" t="str">
            <v>EUKD-</v>
          </cell>
          <cell r="E273" t="str">
            <v>AMAZON</v>
          </cell>
          <cell r="F273" t="str">
            <v>0000000000</v>
          </cell>
        </row>
        <row r="273">
          <cell r="H273" t="str">
            <v>Foundry Point, Halebank Industrial Estate</v>
          </cell>
        </row>
        <row r="273">
          <cell r="K273" t="str">
            <v>Foundry Lane</v>
          </cell>
          <cell r="L273" t="str">
            <v>Widnes</v>
          </cell>
          <cell r="M273" t="str">
            <v>GB</v>
          </cell>
          <cell r="N273" t="str">
            <v>WA8 8WJ</v>
          </cell>
        </row>
        <row r="274">
          <cell r="A274" t="str">
            <v>MME1</v>
          </cell>
          <cell r="B274" t="str">
            <v>MME1</v>
          </cell>
          <cell r="C274" t="str">
            <v>MME1</v>
          </cell>
          <cell r="D274" t="str">
            <v>MME1</v>
          </cell>
          <cell r="E274" t="str">
            <v>AMAZON</v>
          </cell>
          <cell r="F274" t="str">
            <v>0000000000</v>
          </cell>
        </row>
        <row r="274">
          <cell r="H274" t="str">
            <v>Building Oneton</v>
          </cell>
        </row>
        <row r="274">
          <cell r="K274" t="str">
            <v>Darlington</v>
          </cell>
          <cell r="L274" t="str">
            <v>England</v>
          </cell>
          <cell r="M274" t="str">
            <v>GB</v>
          </cell>
          <cell r="N274" t="str">
            <v>DL1 4BF</v>
          </cell>
        </row>
        <row r="275">
          <cell r="A275" t="str">
            <v>LTN2-</v>
          </cell>
          <cell r="B275" t="str">
            <v>LTN2-</v>
          </cell>
          <cell r="C275" t="str">
            <v>LTN2-</v>
          </cell>
          <cell r="D275" t="str">
            <v>LTN2-</v>
          </cell>
          <cell r="E275" t="str">
            <v>AMAZON</v>
          </cell>
          <cell r="F275" t="str">
            <v>0000000000</v>
          </cell>
        </row>
        <row r="275">
          <cell r="H275" t="str">
            <v>Boundary Way</v>
          </cell>
        </row>
        <row r="275">
          <cell r="K275" t="str">
            <v>Hertfordshire</v>
          </cell>
          <cell r="L275" t="str">
            <v>Hemel Hempstead</v>
          </cell>
          <cell r="M275" t="str">
            <v>GB</v>
          </cell>
          <cell r="N275" t="str">
            <v>HP2 7UJ</v>
          </cell>
        </row>
        <row r="276">
          <cell r="A276" t="str">
            <v>LTN9</v>
          </cell>
          <cell r="B276" t="str">
            <v>LTN9</v>
          </cell>
          <cell r="C276" t="str">
            <v>LTN9</v>
          </cell>
          <cell r="D276" t="str">
            <v>LTN9</v>
          </cell>
          <cell r="E276" t="str">
            <v>AMAZON</v>
          </cell>
          <cell r="F276" t="str">
            <v>0000000000</v>
          </cell>
        </row>
        <row r="276">
          <cell r="H276" t="str">
            <v>UNITS DC1 AND DC2 PROLOGIS BOSCOMBE ROAD</v>
          </cell>
        </row>
        <row r="276">
          <cell r="K276" t="str">
            <v>DUNSTABLE</v>
          </cell>
          <cell r="L276" t="str">
            <v>DUNSTABLE</v>
          </cell>
          <cell r="M276" t="str">
            <v>GB</v>
          </cell>
          <cell r="N276" t="str">
            <v>LU5 4FE</v>
          </cell>
        </row>
        <row r="277">
          <cell r="A277" t="str">
            <v>MME2</v>
          </cell>
          <cell r="B277" t="str">
            <v>MME2</v>
          </cell>
          <cell r="C277" t="str">
            <v>MME2</v>
          </cell>
          <cell r="D277" t="str">
            <v>MME2</v>
          </cell>
          <cell r="E277" t="str">
            <v>AMAZON</v>
          </cell>
          <cell r="F277" t="str">
            <v>0000000000</v>
          </cell>
        </row>
        <row r="277">
          <cell r="H277" t="str">
            <v>PEAT EDGE FARM TURSDALE ROAD</v>
          </cell>
        </row>
        <row r="277">
          <cell r="K277" t="str">
            <v>BOWBURN</v>
          </cell>
          <cell r="L277" t="str">
            <v>North East</v>
          </cell>
          <cell r="M277" t="str">
            <v>GB</v>
          </cell>
          <cell r="N277" t="str">
            <v>DH6 5NP</v>
          </cell>
        </row>
        <row r="278">
          <cell r="A278" t="str">
            <v>XBH2</v>
          </cell>
          <cell r="B278" t="str">
            <v>XBH2</v>
          </cell>
          <cell r="C278" t="str">
            <v>XBH2</v>
          </cell>
          <cell r="D278" t="str">
            <v>XBH2</v>
          </cell>
          <cell r="E278" t="str">
            <v>AMAZON</v>
          </cell>
          <cell r="F278" t="str">
            <v>0000000000</v>
          </cell>
        </row>
        <row r="278">
          <cell r="H278" t="str">
            <v>DC1 Pro Logis, Central Park</v>
          </cell>
        </row>
        <row r="278">
          <cell r="K278" t="str">
            <v>RUGBY</v>
          </cell>
          <cell r="L278" t="str">
            <v>Warwickshire</v>
          </cell>
          <cell r="M278" t="str">
            <v>GB</v>
          </cell>
          <cell r="N278" t="str">
            <v>CV23 0WB</v>
          </cell>
        </row>
        <row r="279">
          <cell r="A279" t="str">
            <v>EMA2</v>
          </cell>
          <cell r="B279" t="str">
            <v>EMA2</v>
          </cell>
          <cell r="C279" t="str">
            <v>EMA2</v>
          </cell>
          <cell r="D279" t="str">
            <v>EMA2</v>
          </cell>
          <cell r="E279" t="str">
            <v>AMAZON</v>
          </cell>
          <cell r="F279" t="str">
            <v>0000000000</v>
          </cell>
        </row>
        <row r="279">
          <cell r="H279" t="str">
            <v>SUMMIT PARK SHERWOOD WAY</v>
          </cell>
        </row>
        <row r="279">
          <cell r="K279" t="str">
            <v>SOUTH SUTTON IN ASHFIELD</v>
          </cell>
          <cell r="L279" t="str">
            <v>Mansfield</v>
          </cell>
          <cell r="M279" t="str">
            <v>GB</v>
          </cell>
          <cell r="N279" t="str">
            <v>NG17 5NB</v>
          </cell>
        </row>
        <row r="280">
          <cell r="A280" t="str">
            <v>EMA1-</v>
          </cell>
          <cell r="B280" t="str">
            <v>EMA1-</v>
          </cell>
          <cell r="C280" t="str">
            <v>EMA1-</v>
          </cell>
          <cell r="D280" t="str">
            <v>EMA1-</v>
          </cell>
          <cell r="E280" t="str">
            <v>AMAZON</v>
          </cell>
          <cell r="F280" t="str">
            <v>0000000000</v>
          </cell>
        </row>
        <row r="280">
          <cell r="H280" t="str">
            <v>DC1 Pro Logis, Central Park</v>
          </cell>
        </row>
        <row r="280">
          <cell r="K280" t="str">
            <v>Warwickshire</v>
          </cell>
          <cell r="L280" t="str">
            <v>RUGBY</v>
          </cell>
          <cell r="M280" t="str">
            <v>GB</v>
          </cell>
          <cell r="N280" t="str">
            <v>CV23 0WB</v>
          </cell>
        </row>
        <row r="281">
          <cell r="A281" t="str">
            <v>EMA2-</v>
          </cell>
          <cell r="B281" t="str">
            <v>EMA2-</v>
          </cell>
          <cell r="C281" t="str">
            <v>EMA2-</v>
          </cell>
          <cell r="D281" t="str">
            <v>EMA2-</v>
          </cell>
          <cell r="E281" t="str">
            <v>AMAZON</v>
          </cell>
          <cell r="F281" t="str">
            <v>0000000000</v>
          </cell>
        </row>
        <row r="281">
          <cell r="H281" t="str">
            <v>SUMMIT PARK SHERWOOD WAY</v>
          </cell>
        </row>
        <row r="281">
          <cell r="K281" t="str">
            <v>SOUTH SUTTON IN ASHFIELD</v>
          </cell>
          <cell r="L281" t="str">
            <v>Mansfield</v>
          </cell>
          <cell r="M281" t="str">
            <v>GB</v>
          </cell>
          <cell r="N281" t="str">
            <v>NG17 4PA</v>
          </cell>
        </row>
        <row r="282">
          <cell r="A282" t="str">
            <v>XUKA</v>
          </cell>
          <cell r="B282" t="str">
            <v>XUKA</v>
          </cell>
          <cell r="C282" t="str">
            <v>XUKA</v>
          </cell>
          <cell r="D282" t="str">
            <v>XUKA</v>
          </cell>
          <cell r="E282" t="str">
            <v>AMAZON</v>
          </cell>
          <cell r="F282" t="str">
            <v>0000000000</v>
          </cell>
        </row>
        <row r="282">
          <cell r="H282" t="str">
            <v>Whitehouse Industrial Estate, Aston Lane North Preston Brook</v>
          </cell>
        </row>
        <row r="282">
          <cell r="K282" t="str">
            <v>Runcorn</v>
          </cell>
          <cell r="L282" t="str">
            <v>Cheshire</v>
          </cell>
          <cell r="M282" t="str">
            <v>GB</v>
          </cell>
          <cell r="N282" t="str">
            <v>WA7 3BN</v>
          </cell>
        </row>
        <row r="283">
          <cell r="A283" t="str">
            <v>XLT2</v>
          </cell>
          <cell r="B283" t="str">
            <v>XLT2</v>
          </cell>
          <cell r="C283" t="str">
            <v>XLT2</v>
          </cell>
          <cell r="D283" t="str">
            <v>XLT2</v>
          </cell>
          <cell r="E283" t="str">
            <v>AMAZON</v>
          </cell>
          <cell r="F283" t="str">
            <v>0000000000</v>
          </cell>
        </row>
        <row r="283">
          <cell r="H283" t="str">
            <v>Unit 12, Holkham Road, Overton Park</v>
          </cell>
        </row>
        <row r="283">
          <cell r="K283" t="str">
            <v>PETERBOROUGH</v>
          </cell>
          <cell r="L283" t="str">
            <v>Cambridgeshire</v>
          </cell>
          <cell r="M283" t="str">
            <v>GB</v>
          </cell>
          <cell r="N283" t="str">
            <v>PE2 6TE</v>
          </cell>
        </row>
        <row r="284">
          <cell r="A284" t="str">
            <v>LTN7</v>
          </cell>
          <cell r="B284" t="str">
            <v>LTN7</v>
          </cell>
          <cell r="C284" t="str">
            <v>LTN7</v>
          </cell>
          <cell r="D284" t="str">
            <v>LTN7</v>
          </cell>
          <cell r="E284" t="str">
            <v>AMAZON</v>
          </cell>
          <cell r="F284" t="str">
            <v>0000000000</v>
          </cell>
        </row>
        <row r="284">
          <cell r="H284" t="str">
            <v>Bedford 405, Bedford Commercial Park</v>
          </cell>
        </row>
        <row r="284">
          <cell r="K284" t="str">
            <v>Bedfordshire</v>
          </cell>
          <cell r="L284" t="str">
            <v>BEDFORD</v>
          </cell>
          <cell r="M284" t="str">
            <v>GB</v>
          </cell>
          <cell r="N284" t="str">
            <v>MK43 9JH</v>
          </cell>
        </row>
        <row r="285">
          <cell r="A285" t="str">
            <v>XLT1</v>
          </cell>
          <cell r="B285" t="str">
            <v>XLT1</v>
          </cell>
          <cell r="C285" t="str">
            <v>XLT1</v>
          </cell>
          <cell r="D285" t="str">
            <v>XLT1</v>
          </cell>
          <cell r="E285" t="str">
            <v>AMAZON</v>
          </cell>
          <cell r="F285" t="str">
            <v>0000000000</v>
          </cell>
        </row>
        <row r="285">
          <cell r="H285" t="str">
            <v>Units 9 and 10 Manasty Rd</v>
          </cell>
        </row>
        <row r="285">
          <cell r="K285" t="str">
            <v>PETERBOROUGH</v>
          </cell>
          <cell r="L285" t="str">
            <v>PETERBOROUGH</v>
          </cell>
          <cell r="M285" t="str">
            <v>GB</v>
          </cell>
          <cell r="N285" t="str">
            <v>PE2 6UG</v>
          </cell>
        </row>
        <row r="286">
          <cell r="A286" t="str">
            <v>LBA4</v>
          </cell>
          <cell r="B286" t="str">
            <v>LBA4</v>
          </cell>
          <cell r="C286" t="str">
            <v>LBA4</v>
          </cell>
          <cell r="D286" t="str">
            <v>LBA4</v>
          </cell>
          <cell r="E286" t="str">
            <v>AMAZON</v>
          </cell>
          <cell r="F286" t="str">
            <v>0000000000</v>
          </cell>
        </row>
        <row r="286">
          <cell r="H286" t="str">
            <v>Unit IP9 Toronto Way</v>
          </cell>
        </row>
        <row r="286">
          <cell r="K286" t="str">
            <v>DONCASTER</v>
          </cell>
          <cell r="L286" t="str">
            <v>New Rossington</v>
          </cell>
          <cell r="M286" t="str">
            <v>GB</v>
          </cell>
          <cell r="N286" t="str">
            <v>DN11 0GU</v>
          </cell>
        </row>
        <row r="287">
          <cell r="A287" t="str">
            <v>XPL1</v>
          </cell>
          <cell r="B287" t="str">
            <v>XPL1</v>
          </cell>
          <cell r="C287" t="str">
            <v>XPL1</v>
          </cell>
          <cell r="D287" t="str">
            <v>XPL1</v>
          </cell>
          <cell r="E287" t="str">
            <v>AMAZON</v>
          </cell>
          <cell r="F287" t="str">
            <v>0000000000</v>
          </cell>
        </row>
        <row r="287">
          <cell r="H287" t="str">
            <v>Foundry Point, Halebank Industrial Estate Foundry Lane</v>
          </cell>
        </row>
        <row r="287">
          <cell r="K287" t="str">
            <v>WIDNES</v>
          </cell>
          <cell r="L287" t="str">
            <v>Cheshire</v>
          </cell>
          <cell r="M287" t="str">
            <v>GB</v>
          </cell>
          <cell r="N287" t="str">
            <v>WA8 8YN</v>
          </cell>
        </row>
        <row r="288">
          <cell r="A288" t="str">
            <v>BHX7</v>
          </cell>
          <cell r="B288" t="str">
            <v>BHX7</v>
          </cell>
          <cell r="C288" t="str">
            <v>BHX7</v>
          </cell>
          <cell r="D288" t="str">
            <v>BHX7</v>
          </cell>
          <cell r="E288" t="str">
            <v>AMAZON</v>
          </cell>
          <cell r="F288" t="str">
            <v>0000000000</v>
          </cell>
        </row>
        <row r="288">
          <cell r="H288" t="str">
            <v>Unit 2, Hinckley Park</v>
          </cell>
        </row>
        <row r="288">
          <cell r="K288" t="str">
            <v>Leicestershire</v>
          </cell>
          <cell r="L288" t="str">
            <v>Leicestershire</v>
          </cell>
          <cell r="M288" t="str">
            <v>GB</v>
          </cell>
          <cell r="N288" t="str">
            <v>LE10 3FF</v>
          </cell>
        </row>
        <row r="289">
          <cell r="A289" t="str">
            <v>XDS1</v>
          </cell>
          <cell r="B289" t="str">
            <v>XDS1</v>
          </cell>
          <cell r="C289" t="str">
            <v>XDS1</v>
          </cell>
          <cell r="D289" t="str">
            <v>XDS1</v>
          </cell>
          <cell r="E289" t="str">
            <v>AMAZON</v>
          </cell>
          <cell r="F289" t="str">
            <v>0000000000</v>
          </cell>
        </row>
        <row r="289">
          <cell r="H289" t="str">
            <v>Gateway 4 Jackson Lane Dale View DONCASTER, Yorkshire DN3 3FX GB</v>
          </cell>
        </row>
        <row r="289">
          <cell r="K289" t="str">
            <v>DONCASTER</v>
          </cell>
          <cell r="L289" t="str">
            <v>Yorkshire</v>
          </cell>
          <cell r="M289" t="str">
            <v>GB</v>
          </cell>
          <cell r="N289" t="str">
            <v>DN3 3FX</v>
          </cell>
        </row>
        <row r="290">
          <cell r="A290" t="str">
            <v>XBH5</v>
          </cell>
          <cell r="B290" t="str">
            <v>XBH5</v>
          </cell>
          <cell r="C290" t="str">
            <v>XBH5</v>
          </cell>
          <cell r="D290" t="str">
            <v>XBH5</v>
          </cell>
          <cell r="E290" t="str">
            <v>AMAZON</v>
          </cell>
          <cell r="F290" t="str">
            <v>0000000000</v>
          </cell>
        </row>
        <row r="290">
          <cell r="H290" t="str">
            <v>Building MPS1 Hudson Way Magna Park South</v>
          </cell>
        </row>
        <row r="290">
          <cell r="K290" t="str">
            <v>LUTTERWORTH</v>
          </cell>
          <cell r="L290" t="str">
            <v>East Midlands</v>
          </cell>
          <cell r="M290" t="str">
            <v>GB</v>
          </cell>
          <cell r="N290" t="str">
            <v>LE17 4XY</v>
          </cell>
        </row>
        <row r="291">
          <cell r="A291" t="str">
            <v>XBH4</v>
          </cell>
          <cell r="B291" t="str">
            <v>XBH4</v>
          </cell>
          <cell r="C291" t="str">
            <v>XBH4</v>
          </cell>
          <cell r="D291" t="str">
            <v>XBH4</v>
          </cell>
          <cell r="E291" t="str">
            <v>AMAZON</v>
          </cell>
          <cell r="F291" t="str">
            <v>0000000000</v>
          </cell>
        </row>
        <row r="291">
          <cell r="H291" t="str">
            <v>GRAVELLY WAY CEVA Logistics</v>
          </cell>
        </row>
        <row r="291">
          <cell r="K291" t="str">
            <v>WOLVERHAMPTON</v>
          </cell>
          <cell r="L291" t="str">
            <v>West Midlands</v>
          </cell>
          <cell r="M291" t="str">
            <v>GB</v>
          </cell>
          <cell r="N291" t="str">
            <v>WV10 7GW</v>
          </cell>
        </row>
        <row r="292">
          <cell r="A292" t="str">
            <v>VJU1</v>
          </cell>
          <cell r="B292" t="str">
            <v>VJU1</v>
          </cell>
          <cell r="C292" t="str">
            <v>VJU1</v>
          </cell>
          <cell r="D292" t="str">
            <v>VJU1</v>
          </cell>
          <cell r="E292" t="str">
            <v>AMAZON</v>
          </cell>
          <cell r="F292" t="str">
            <v>0000000000</v>
          </cell>
        </row>
        <row r="292">
          <cell r="H292" t="str">
            <v>石田100 MFLP厚木Ⅱ</v>
          </cell>
        </row>
        <row r="292">
          <cell r="K292" t="str">
            <v>伊勢原市</v>
          </cell>
          <cell r="L292" t="str">
            <v>伊勢原市</v>
          </cell>
          <cell r="M292" t="str">
            <v>JP</v>
          </cell>
          <cell r="N292" t="str">
            <v>259-1116</v>
          </cell>
        </row>
        <row r="293">
          <cell r="A293" t="str">
            <v>TPF4</v>
          </cell>
          <cell r="B293" t="str">
            <v>TPF4</v>
          </cell>
          <cell r="C293" t="str">
            <v>TPF4</v>
          </cell>
          <cell r="D293" t="str">
            <v>TPF4</v>
          </cell>
          <cell r="E293" t="str">
            <v>AMAZON</v>
          </cell>
          <cell r="F293" t="str">
            <v>0000000000</v>
          </cell>
        </row>
        <row r="293">
          <cell r="H293" t="str">
            <v>奥田大沢町2-1</v>
          </cell>
        </row>
        <row r="293">
          <cell r="K293" t="str">
            <v>稲沢市</v>
          </cell>
          <cell r="L293" t="str">
            <v>愛知県</v>
          </cell>
          <cell r="M293" t="str">
            <v>JP</v>
          </cell>
          <cell r="N293" t="str">
            <v>492-8224</v>
          </cell>
        </row>
        <row r="294">
          <cell r="A294" t="str">
            <v>TPF2</v>
          </cell>
          <cell r="B294" t="str">
            <v>TPF2</v>
          </cell>
          <cell r="C294" t="str">
            <v>TPF2</v>
          </cell>
          <cell r="D294" t="str">
            <v>TPF2</v>
          </cell>
          <cell r="E294" t="str">
            <v>AMAZON</v>
          </cell>
          <cell r="F294" t="str">
            <v>0000000000</v>
          </cell>
        </row>
        <row r="294">
          <cell r="H294" t="str">
            <v>吉見町西吉見480</v>
          </cell>
        </row>
        <row r="294">
          <cell r="K294" t="str">
            <v>比企郡</v>
          </cell>
          <cell r="L294" t="str">
            <v>埼玉県</v>
          </cell>
          <cell r="M294" t="str">
            <v>JP</v>
          </cell>
          <cell r="N294" t="str">
            <v>355-0157</v>
          </cell>
        </row>
        <row r="295">
          <cell r="A295" t="str">
            <v>VJNA</v>
          </cell>
          <cell r="B295" t="str">
            <v>VJNA</v>
          </cell>
          <cell r="C295" t="str">
            <v>VJNA</v>
          </cell>
          <cell r="D295" t="str">
            <v>VJNA</v>
          </cell>
          <cell r="E295" t="str">
            <v>AMAZON</v>
          </cell>
          <cell r="F295" t="str">
            <v>0000000000</v>
          </cell>
        </row>
        <row r="295">
          <cell r="H295" t="str">
            <v>藤ケ谷1823</v>
          </cell>
        </row>
        <row r="295">
          <cell r="K295" t="str">
            <v>柏市</v>
          </cell>
          <cell r="L295" t="str">
            <v>千葉県</v>
          </cell>
          <cell r="M295" t="str">
            <v>JP</v>
          </cell>
          <cell r="N295" t="str">
            <v>277-0931</v>
          </cell>
        </row>
        <row r="296">
          <cell r="A296" t="str">
            <v>TPFB</v>
          </cell>
          <cell r="B296" t="str">
            <v>TPFB</v>
          </cell>
          <cell r="C296" t="str">
            <v>TPFB</v>
          </cell>
          <cell r="D296" t="str">
            <v>TPFB</v>
          </cell>
          <cell r="E296" t="str">
            <v>AMAZON</v>
          </cell>
          <cell r="F296" t="str">
            <v>0000000000</v>
          </cell>
        </row>
        <row r="296">
          <cell r="H296" t="str">
            <v>石田100</v>
          </cell>
        </row>
        <row r="296">
          <cell r="K296" t="str">
            <v>伊勢原市</v>
          </cell>
          <cell r="L296" t="str">
            <v>神奈川県</v>
          </cell>
          <cell r="M296" t="str">
            <v>JP</v>
          </cell>
          <cell r="N296" t="str">
            <v>259-1116</v>
          </cell>
        </row>
        <row r="297">
          <cell r="A297" t="str">
            <v>TPFA</v>
          </cell>
          <cell r="B297" t="str">
            <v>TPFA</v>
          </cell>
          <cell r="C297" t="str">
            <v>TPFA</v>
          </cell>
          <cell r="D297" t="str">
            <v>TPFA</v>
          </cell>
          <cell r="E297" t="str">
            <v>AMAZON</v>
          </cell>
          <cell r="F297" t="str">
            <v>0000000000</v>
          </cell>
        </row>
        <row r="297">
          <cell r="H297" t="str">
            <v>中里字光淨寺3078番2</v>
          </cell>
        </row>
        <row r="297">
          <cell r="K297" t="str">
            <v>野田市</v>
          </cell>
          <cell r="L297" t="str">
            <v>千葉県</v>
          </cell>
          <cell r="M297" t="str">
            <v>JP</v>
          </cell>
          <cell r="N297" t="str">
            <v>270-0237</v>
          </cell>
        </row>
        <row r="298">
          <cell r="A298" t="str">
            <v>TPF9</v>
          </cell>
          <cell r="B298" t="str">
            <v>TPF9</v>
          </cell>
          <cell r="C298" t="str">
            <v>TPF9</v>
          </cell>
          <cell r="D298" t="str">
            <v>TPF9</v>
          </cell>
          <cell r="E298" t="str">
            <v>AMAZON</v>
          </cell>
          <cell r="F298" t="str">
            <v>0000000000</v>
          </cell>
        </row>
        <row r="298">
          <cell r="H298" t="str">
            <v>茜浜3丁目7-2 ランドポート習志野 2階 習志野市, 千葉県</v>
          </cell>
        </row>
        <row r="298">
          <cell r="K298" t="str">
            <v>習志野市</v>
          </cell>
          <cell r="L298" t="str">
            <v>千葉県</v>
          </cell>
          <cell r="M298" t="str">
            <v>JP</v>
          </cell>
          <cell r="N298" t="str">
            <v>275-0024</v>
          </cell>
        </row>
        <row r="299">
          <cell r="A299" t="str">
            <v>TYO2</v>
          </cell>
          <cell r="B299" t="str">
            <v>TYO2</v>
          </cell>
          <cell r="C299" t="str">
            <v>TYO2</v>
          </cell>
          <cell r="D299" t="str">
            <v>TYO2</v>
          </cell>
          <cell r="E299" t="str">
            <v>AMAZON</v>
          </cell>
          <cell r="F299" t="str">
            <v>0000000000</v>
          </cell>
        </row>
        <row r="299">
          <cell r="H299" t="str">
            <v>上清久字桟敷1000番1</v>
          </cell>
        </row>
        <row r="299">
          <cell r="K299" t="str">
            <v>久喜市</v>
          </cell>
          <cell r="L299" t="str">
            <v>埼玉県</v>
          </cell>
          <cell r="M299" t="str">
            <v>JP</v>
          </cell>
          <cell r="N299" t="str">
            <v>346-8511</v>
          </cell>
        </row>
        <row r="300">
          <cell r="A300" t="str">
            <v>TPFC</v>
          </cell>
          <cell r="B300" t="str">
            <v>TPFC</v>
          </cell>
          <cell r="C300" t="str">
            <v>TPFC</v>
          </cell>
          <cell r="D300" t="str">
            <v>TPFC</v>
          </cell>
          <cell r="E300" t="str">
            <v>AMAZON</v>
          </cell>
          <cell r="F300" t="str">
            <v>0000000000</v>
          </cell>
        </row>
        <row r="300">
          <cell r="H300" t="str">
            <v>新曽南4丁目3 ESR戸田</v>
          </cell>
        </row>
        <row r="300">
          <cell r="K300" t="str">
            <v>戸田市</v>
          </cell>
          <cell r="L300" t="str">
            <v>埼玉県</v>
          </cell>
          <cell r="M300" t="str">
            <v>JP</v>
          </cell>
          <cell r="N300" t="str">
            <v>335-0026</v>
          </cell>
        </row>
        <row r="301">
          <cell r="A301" t="str">
            <v>TYO6</v>
          </cell>
          <cell r="B301" t="str">
            <v>TYO6</v>
          </cell>
          <cell r="C301" t="str">
            <v>TYO6</v>
          </cell>
          <cell r="D301" t="str">
            <v>TYO6</v>
          </cell>
          <cell r="E301" t="str">
            <v>AMAZON</v>
          </cell>
          <cell r="F301" t="str">
            <v>0000000000</v>
          </cell>
        </row>
        <row r="301">
          <cell r="H301" t="str">
            <v>西インター1丁目2-1</v>
          </cell>
        </row>
        <row r="301">
          <cell r="K301" t="str">
            <v>坂戸市</v>
          </cell>
          <cell r="L301" t="str">
            <v>埼玉県</v>
          </cell>
          <cell r="M301" t="str">
            <v>JP</v>
          </cell>
          <cell r="N301" t="str">
            <v>350-0282</v>
          </cell>
        </row>
        <row r="302">
          <cell r="A302" t="str">
            <v>VJND</v>
          </cell>
          <cell r="B302" t="str">
            <v>VJND</v>
          </cell>
          <cell r="C302" t="str">
            <v>VJND</v>
          </cell>
          <cell r="D302" t="str">
            <v>VJND</v>
          </cell>
          <cell r="E302" t="str">
            <v>AMAZON</v>
          </cell>
          <cell r="F302" t="str">
            <v>0000000000</v>
          </cell>
        </row>
        <row r="302">
          <cell r="H302" t="str">
            <v>泉 935</v>
          </cell>
        </row>
        <row r="302">
          <cell r="K302" t="str">
            <v>立川市</v>
          </cell>
          <cell r="L302" t="str">
            <v>東京都</v>
          </cell>
          <cell r="M302" t="str">
            <v>JP</v>
          </cell>
          <cell r="N302" t="str">
            <v>190-0015</v>
          </cell>
        </row>
        <row r="303">
          <cell r="A303" t="str">
            <v>TYO3</v>
          </cell>
          <cell r="B303" t="str">
            <v>TYO3</v>
          </cell>
          <cell r="C303" t="str">
            <v>TYO3</v>
          </cell>
          <cell r="D303" t="str">
            <v>TYO3</v>
          </cell>
          <cell r="E303" t="str">
            <v>AMAZON</v>
          </cell>
          <cell r="F303" t="str">
            <v>0000000000</v>
          </cell>
        </row>
        <row r="303">
          <cell r="H303" t="str">
            <v>四谷5丁目23-62</v>
          </cell>
        </row>
        <row r="303">
          <cell r="K303" t="str">
            <v>府中市</v>
          </cell>
          <cell r="L303" t="str">
            <v>東京都</v>
          </cell>
          <cell r="M303" t="str">
            <v>JP</v>
          </cell>
          <cell r="N303" t="str">
            <v>183-8570</v>
          </cell>
        </row>
        <row r="304">
          <cell r="A304" t="str">
            <v>TYO7</v>
          </cell>
          <cell r="B304" t="str">
            <v>TYO7</v>
          </cell>
          <cell r="C304" t="str">
            <v>TYO7</v>
          </cell>
          <cell r="D304" t="str">
            <v>TYO7</v>
          </cell>
          <cell r="E304" t="str">
            <v>AMAZON</v>
          </cell>
          <cell r="F304" t="str">
            <v>0000000000</v>
          </cell>
        </row>
        <row r="304">
          <cell r="H304" t="str">
            <v>堤崎大字中新井字前５３３(MUCD上尾)</v>
          </cell>
        </row>
        <row r="304">
          <cell r="K304" t="str">
            <v>上尾市</v>
          </cell>
          <cell r="L304" t="str">
            <v>埼玉県</v>
          </cell>
          <cell r="M304" t="str">
            <v>JP</v>
          </cell>
          <cell r="N304" t="str">
            <v>362-8508</v>
          </cell>
        </row>
        <row r="305">
          <cell r="A305" t="str">
            <v>VJNC</v>
          </cell>
          <cell r="B305" t="str">
            <v>VJNC</v>
          </cell>
          <cell r="C305" t="str">
            <v>VJNC</v>
          </cell>
          <cell r="D305" t="str">
            <v>VJNC</v>
          </cell>
          <cell r="E305" t="str">
            <v>AMAZON</v>
          </cell>
          <cell r="F305" t="str">
            <v>0000000000</v>
          </cell>
        </row>
        <row r="305">
          <cell r="H305" t="str">
            <v>入庫係 東田町5-18 1 F</v>
          </cell>
        </row>
        <row r="305">
          <cell r="K305" t="str">
            <v>門真市</v>
          </cell>
          <cell r="L305" t="str">
            <v>大阪府</v>
          </cell>
          <cell r="M305" t="str">
            <v>JP</v>
          </cell>
          <cell r="N305" t="str">
            <v>571-0034</v>
          </cell>
        </row>
        <row r="306">
          <cell r="A306" t="str">
            <v>XHD2</v>
          </cell>
          <cell r="B306" t="str">
            <v>XHD2</v>
          </cell>
          <cell r="C306" t="str">
            <v>XHD2</v>
          </cell>
          <cell r="D306" t="str">
            <v>XHD2</v>
          </cell>
          <cell r="E306" t="str">
            <v>AMAZON</v>
          </cell>
          <cell r="F306" t="str">
            <v>0000000000</v>
          </cell>
        </row>
        <row r="306">
          <cell r="H306" t="str">
            <v>領家4丁目9番37号 MFLP川口Ⅰ 1F</v>
          </cell>
        </row>
        <row r="306">
          <cell r="K306" t="str">
            <v>川口市</v>
          </cell>
          <cell r="L306" t="str">
            <v>埼玉県</v>
          </cell>
          <cell r="M306" t="str">
            <v>JP</v>
          </cell>
          <cell r="N306" t="str">
            <v>332-0004</v>
          </cell>
        </row>
        <row r="307">
          <cell r="A307" t="str">
            <v>XHD1</v>
          </cell>
          <cell r="B307" t="str">
            <v>XHD1</v>
          </cell>
          <cell r="C307" t="str">
            <v>XHD1</v>
          </cell>
          <cell r="D307" t="str">
            <v>XHD1</v>
          </cell>
          <cell r="E307" t="str">
            <v>AMAZON</v>
          </cell>
          <cell r="F307" t="str">
            <v>0000000000</v>
          </cell>
        </row>
        <row r="307">
          <cell r="H307" t="str">
            <v>石田100 MFLP AtsugiⅡ 1F</v>
          </cell>
        </row>
        <row r="307">
          <cell r="K307" t="str">
            <v>伊勢原市</v>
          </cell>
          <cell r="L307" t="str">
            <v>神奈川県</v>
          </cell>
          <cell r="M307" t="str">
            <v>JP</v>
          </cell>
          <cell r="N307" t="str">
            <v>259-1116</v>
          </cell>
        </row>
        <row r="308">
          <cell r="A308" t="str">
            <v>XKX1</v>
          </cell>
          <cell r="B308" t="str">
            <v>XKX1</v>
          </cell>
          <cell r="C308" t="str">
            <v>XKX1</v>
          </cell>
          <cell r="D308" t="str">
            <v>XKX1</v>
          </cell>
          <cell r="E308" t="str">
            <v>AMAZON</v>
          </cell>
          <cell r="F308" t="str">
            <v>0000000000</v>
          </cell>
        </row>
        <row r="308">
          <cell r="H308" t="str">
            <v>彩都あかね1番地 三井不動産ロジスティクスパーク（MFLP）茨木２F</v>
          </cell>
        </row>
        <row r="308">
          <cell r="K308" t="str">
            <v>茨木市</v>
          </cell>
          <cell r="L308" t="str">
            <v>大阪府</v>
          </cell>
          <cell r="M308" t="str">
            <v>JP</v>
          </cell>
          <cell r="N308" t="str">
            <v>567-0084</v>
          </cell>
        </row>
        <row r="309">
          <cell r="A309" t="str">
            <v>HND6</v>
          </cell>
          <cell r="B309" t="str">
            <v>HND6</v>
          </cell>
          <cell r="C309" t="str">
            <v>HND6</v>
          </cell>
          <cell r="D309" t="str">
            <v>HND6</v>
          </cell>
          <cell r="E309" t="str">
            <v>AMAZON</v>
          </cell>
          <cell r="F309" t="str">
            <v>0000000000</v>
          </cell>
        </row>
        <row r="309">
          <cell r="H309" t="str">
            <v>213-8516 Kanagawa, 川崎市 高津区 北見方3-14-1 HND6 Amazon Japan G.K.</v>
          </cell>
        </row>
        <row r="309">
          <cell r="K309" t="str">
            <v>川崎市</v>
          </cell>
          <cell r="L309" t="str">
            <v>神奈川县</v>
          </cell>
          <cell r="M309" t="str">
            <v>JP</v>
          </cell>
          <cell r="N309" t="str">
            <v>213-8516</v>
          </cell>
        </row>
        <row r="310">
          <cell r="A310" t="str">
            <v>OKJ1</v>
          </cell>
          <cell r="B310" t="str">
            <v>OKJ1</v>
          </cell>
          <cell r="C310" t="str">
            <v>OKJ1</v>
          </cell>
          <cell r="D310" t="str">
            <v>OKJ1</v>
          </cell>
          <cell r="E310" t="str">
            <v>AMAZON</v>
          </cell>
          <cell r="F310" t="str">
            <v>0000000000</v>
          </cell>
        </row>
        <row r="310">
          <cell r="H310" t="str">
            <v>長良4-1</v>
          </cell>
        </row>
        <row r="310">
          <cell r="K310" t="str">
            <v>総社市</v>
          </cell>
          <cell r="L310" t="str">
            <v>Okayama</v>
          </cell>
          <cell r="M310" t="str">
            <v>JP</v>
          </cell>
          <cell r="N310" t="str">
            <v>719-1196</v>
          </cell>
        </row>
        <row r="311">
          <cell r="A311" t="str">
            <v>NRT3</v>
          </cell>
          <cell r="B311" t="str">
            <v>NRT3</v>
          </cell>
          <cell r="C311" t="str">
            <v>NRT3</v>
          </cell>
          <cell r="D311" t="str">
            <v>NRT3</v>
          </cell>
          <cell r="E311" t="str">
            <v>AMAZON</v>
          </cell>
          <cell r="F311" t="str">
            <v>0000000000</v>
          </cell>
        </row>
        <row r="311">
          <cell r="H311" t="str">
            <v>多治见FC 岐阜県多治见市旭ヶ丘10-6</v>
          </cell>
        </row>
        <row r="311">
          <cell r="K311" t="str">
            <v>多治见市</v>
          </cell>
          <cell r="L311" t="str">
            <v>岐阜県</v>
          </cell>
          <cell r="M311" t="str">
            <v>JP</v>
          </cell>
          <cell r="N311" t="str">
            <v>507-8585</v>
          </cell>
        </row>
        <row r="312">
          <cell r="A312" t="str">
            <v>TPFD</v>
          </cell>
          <cell r="B312" t="str">
            <v>TPFD</v>
          </cell>
          <cell r="C312" t="str">
            <v>TPFD</v>
          </cell>
          <cell r="D312" t="str">
            <v>TPFD</v>
          </cell>
          <cell r="E312" t="str">
            <v>AMAZON</v>
          </cell>
          <cell r="F312" t="str">
            <v>0000000000</v>
          </cell>
        </row>
        <row r="312">
          <cell r="H312" t="str">
            <v>八幡カイトリ1-1 AZ-COM京都</v>
          </cell>
        </row>
        <row r="312">
          <cell r="K312" t="str">
            <v>八幡市</v>
          </cell>
          <cell r="L312" t="str">
            <v>京都府</v>
          </cell>
          <cell r="M312" t="str">
            <v>JP</v>
          </cell>
          <cell r="N312" t="str">
            <v>614-8302</v>
          </cell>
        </row>
        <row r="313">
          <cell r="A313" t="str">
            <v>VJNE</v>
          </cell>
          <cell r="B313" t="str">
            <v>VJNE</v>
          </cell>
          <cell r="C313" t="str">
            <v>VJNE</v>
          </cell>
          <cell r="D313" t="str">
            <v>VJNE</v>
          </cell>
          <cell r="E313" t="str">
            <v>AMAZON</v>
          </cell>
          <cell r="F313" t="str">
            <v>0000000000</v>
          </cell>
        </row>
        <row r="313">
          <cell r="H313" t="str">
            <v>大神455番1，Dプロジェクト平塚</v>
          </cell>
        </row>
        <row r="313">
          <cell r="K313" t="str">
            <v>平塚市</v>
          </cell>
          <cell r="L313" t="str">
            <v>神奈川県</v>
          </cell>
          <cell r="M313" t="str">
            <v>JP</v>
          </cell>
          <cell r="N313" t="str">
            <v>254-0012</v>
          </cell>
        </row>
        <row r="314">
          <cell r="A314" t="str">
            <v>QCB1</v>
          </cell>
          <cell r="B314" t="str">
            <v>QCB1</v>
          </cell>
          <cell r="C314" t="str">
            <v>QCB1</v>
          </cell>
          <cell r="D314" t="str">
            <v>QCB1</v>
          </cell>
          <cell r="E314" t="str">
            <v>AMAZON</v>
          </cell>
          <cell r="F314" t="str">
            <v>0000000000</v>
          </cell>
        </row>
        <row r="314">
          <cell r="H314" t="str">
            <v>西深井字早稲田1603番地1</v>
          </cell>
        </row>
        <row r="314">
          <cell r="K314" t="str">
            <v>流山市</v>
          </cell>
          <cell r="L314" t="str">
            <v>千葉県</v>
          </cell>
          <cell r="M314" t="str">
            <v>JP</v>
          </cell>
          <cell r="N314" t="str">
            <v>270-0196</v>
          </cell>
        </row>
        <row r="315">
          <cell r="A315" t="str">
            <v>TPX2</v>
          </cell>
          <cell r="B315" t="str">
            <v>TPX2</v>
          </cell>
          <cell r="C315" t="str">
            <v>TPX2</v>
          </cell>
          <cell r="D315" t="str">
            <v>TPX2</v>
          </cell>
          <cell r="E315" t="str">
            <v>AMAZON</v>
          </cell>
          <cell r="F315" t="str">
            <v>0000000000</v>
          </cell>
        </row>
        <row r="315">
          <cell r="H315" t="str">
            <v>松崎台2-4-3</v>
          </cell>
        </row>
        <row r="315">
          <cell r="K315" t="str">
            <v>印西市</v>
          </cell>
          <cell r="L315" t="str">
            <v>千葉県</v>
          </cell>
          <cell r="M315" t="str">
            <v>JP</v>
          </cell>
          <cell r="N315" t="str">
            <v>270-1389</v>
          </cell>
        </row>
        <row r="316">
          <cell r="A316" t="str">
            <v>TYO4</v>
          </cell>
          <cell r="B316" t="str">
            <v>TYO4</v>
          </cell>
          <cell r="C316" t="str">
            <v>TYO4</v>
          </cell>
          <cell r="D316" t="str">
            <v>TYO4</v>
          </cell>
          <cell r="E316" t="str">
            <v>AMAZON</v>
          </cell>
          <cell r="F316" t="str">
            <v>0000000000</v>
          </cell>
        </row>
        <row r="316">
          <cell r="H316" t="str">
            <v>末広町2-9-14</v>
          </cell>
        </row>
        <row r="316">
          <cell r="K316" t="str">
            <v>青梅市</v>
          </cell>
          <cell r="L316" t="str">
            <v>東京都</v>
          </cell>
          <cell r="M316" t="str">
            <v>JP</v>
          </cell>
          <cell r="N316" t="str">
            <v>198-8501</v>
          </cell>
        </row>
        <row r="317">
          <cell r="A317" t="str">
            <v>XKX2</v>
          </cell>
          <cell r="B317" t="str">
            <v>XKX2</v>
          </cell>
          <cell r="C317" t="str">
            <v>XKX2</v>
          </cell>
          <cell r="D317" t="str">
            <v>XKX2</v>
          </cell>
          <cell r="E317" t="str">
            <v>AMAZON</v>
          </cell>
          <cell r="F317" t="str">
            <v>0000000000</v>
          </cell>
        </row>
        <row r="317">
          <cell r="H317" t="str">
            <v>箕輪3-2-61 ニッセイロジスティクスセンター東大阪1F</v>
          </cell>
        </row>
        <row r="317">
          <cell r="K317" t="str">
            <v>東大阪市</v>
          </cell>
          <cell r="L317" t="str">
            <v>大阪府</v>
          </cell>
          <cell r="M317" t="str">
            <v>JP</v>
          </cell>
          <cell r="N317" t="str">
            <v>578-0914</v>
          </cell>
        </row>
        <row r="318">
          <cell r="A318" t="str">
            <v>NRT5</v>
          </cell>
          <cell r="B318" t="str">
            <v>NRT5</v>
          </cell>
          <cell r="C318" t="str">
            <v>NRT5</v>
          </cell>
          <cell r="D318" t="str">
            <v>NRT5</v>
          </cell>
          <cell r="E318" t="str">
            <v>AMAZON</v>
          </cell>
          <cell r="F318" t="str">
            <v>0000000000</v>
          </cell>
        </row>
        <row r="318">
          <cell r="H318" t="str">
            <v>1-10-15 Minamidai</v>
          </cell>
        </row>
        <row r="318">
          <cell r="K318" t="str">
            <v>Kawagoe</v>
          </cell>
          <cell r="L318" t="str">
            <v>Saitama</v>
          </cell>
          <cell r="M318" t="str">
            <v>JP</v>
          </cell>
          <cell r="N318" t="str">
            <v>350-1182</v>
          </cell>
        </row>
        <row r="319">
          <cell r="A319" t="str">
            <v>HND3</v>
          </cell>
          <cell r="B319" t="str">
            <v>HND3</v>
          </cell>
          <cell r="C319" t="str">
            <v>HND3</v>
          </cell>
          <cell r="D319" t="str">
            <v>HND3</v>
          </cell>
          <cell r="E319" t="str">
            <v>AMAZON</v>
          </cell>
          <cell r="F319" t="str">
            <v>0000000000</v>
          </cell>
        </row>
        <row r="319">
          <cell r="H319" t="str">
            <v>2-1-1 2F Kawajima</v>
          </cell>
        </row>
        <row r="319">
          <cell r="K319" t="str">
            <v>Hikigun</v>
          </cell>
          <cell r="L319" t="str">
            <v>Saitama</v>
          </cell>
          <cell r="M319" t="str">
            <v>JP</v>
          </cell>
          <cell r="N319" t="str">
            <v>350-0195</v>
          </cell>
        </row>
        <row r="320">
          <cell r="A320" t="str">
            <v>KIX1</v>
          </cell>
          <cell r="B320" t="str">
            <v>KIX1</v>
          </cell>
          <cell r="C320" t="str">
            <v>KIX1</v>
          </cell>
          <cell r="D320" t="str">
            <v>KIX1</v>
          </cell>
          <cell r="E320" t="str">
            <v>AMAZON</v>
          </cell>
          <cell r="F320" t="str">
            <v>0000000000</v>
          </cell>
        </row>
        <row r="320">
          <cell r="H320" t="str">
            <v>138-7 Yawatacho,Chikko</v>
          </cell>
        </row>
        <row r="320">
          <cell r="K320" t="str">
            <v>Sakai-ku</v>
          </cell>
          <cell r="L320" t="str">
            <v>Sakai Osaka</v>
          </cell>
          <cell r="M320" t="str">
            <v>JP</v>
          </cell>
          <cell r="N320" t="str">
            <v>590-8589</v>
          </cell>
        </row>
        <row r="321">
          <cell r="A321" t="str">
            <v>KIX2</v>
          </cell>
          <cell r="B321" t="str">
            <v>KIX2</v>
          </cell>
          <cell r="C321" t="str">
            <v>KIX2</v>
          </cell>
          <cell r="D321" t="str">
            <v>KIX2</v>
          </cell>
          <cell r="E321" t="str">
            <v>AMAZON</v>
          </cell>
          <cell r="F321" t="str">
            <v>0000000000</v>
          </cell>
        </row>
        <row r="321">
          <cell r="H321" t="str">
            <v>2-1-1 Midorigaoka</v>
          </cell>
        </row>
        <row r="321">
          <cell r="K321" t="str">
            <v>Daito</v>
          </cell>
          <cell r="L321" t="str">
            <v>Osaka</v>
          </cell>
          <cell r="M321" t="str">
            <v>JP</v>
          </cell>
          <cell r="N321" t="str">
            <v>574-8531</v>
          </cell>
        </row>
        <row r="322">
          <cell r="A322" t="str">
            <v>KIX3</v>
          </cell>
          <cell r="B322" t="str">
            <v>KIX3</v>
          </cell>
          <cell r="C322" t="str">
            <v>KIX3</v>
          </cell>
          <cell r="D322" t="str">
            <v>KIX3</v>
          </cell>
          <cell r="E322" t="str">
            <v>AMAZON</v>
          </cell>
          <cell r="F322" t="str">
            <v>0000000000</v>
          </cell>
        </row>
        <row r="322">
          <cell r="H322" t="str">
            <v>松下町2-1 茨木市, 大阪府 567-8507 JP (2-1, Matsushitacho, Ibaraki-shi, Osaka, 567-8507, Japan)</v>
          </cell>
        </row>
        <row r="322">
          <cell r="K322" t="str">
            <v>茨木市</v>
          </cell>
          <cell r="L322" t="str">
            <v>大阪府</v>
          </cell>
          <cell r="M322" t="str">
            <v>JP</v>
          </cell>
          <cell r="N322" t="str">
            <v>567-8507</v>
          </cell>
        </row>
        <row r="323">
          <cell r="A323" t="str">
            <v>HSG1</v>
          </cell>
          <cell r="B323" t="str">
            <v>HSG1</v>
          </cell>
          <cell r="C323" t="str">
            <v>HSG1</v>
          </cell>
          <cell r="D323" t="str">
            <v>HSG1</v>
          </cell>
          <cell r="E323" t="str">
            <v>AMAZON</v>
          </cell>
          <cell r="F323" t="str">
            <v>0000000000</v>
          </cell>
        </row>
        <row r="323">
          <cell r="H323" t="str">
            <v>3-1-3 Yayoigaoka</v>
          </cell>
        </row>
        <row r="323">
          <cell r="K323" t="str">
            <v>Tosu</v>
          </cell>
          <cell r="L323" t="str">
            <v>Saga</v>
          </cell>
          <cell r="M323" t="str">
            <v>JP</v>
          </cell>
          <cell r="N323" t="str">
            <v>841-8505</v>
          </cell>
        </row>
        <row r="324">
          <cell r="A324" t="str">
            <v>FSZ1</v>
          </cell>
          <cell r="B324" t="str">
            <v>FSZ1</v>
          </cell>
          <cell r="C324" t="str">
            <v>FSZ1</v>
          </cell>
          <cell r="D324" t="str">
            <v>FSZ1</v>
          </cell>
          <cell r="E324" t="str">
            <v>AMAZON</v>
          </cell>
          <cell r="F324" t="str">
            <v>0000000000</v>
          </cell>
        </row>
        <row r="324">
          <cell r="H324" t="str">
            <v>4-5-1 Ogicho</v>
          </cell>
        </row>
        <row r="324">
          <cell r="K324" t="str">
            <v>Odawara</v>
          </cell>
          <cell r="L324" t="str">
            <v>Kanagawa</v>
          </cell>
          <cell r="M324" t="str">
            <v>JP</v>
          </cell>
          <cell r="N324" t="str">
            <v>250-8560</v>
          </cell>
        </row>
        <row r="325">
          <cell r="A325" t="str">
            <v>NRT1</v>
          </cell>
          <cell r="B325" t="str">
            <v>NRT1</v>
          </cell>
          <cell r="C325" t="str">
            <v>NRT1</v>
          </cell>
          <cell r="D325" t="str">
            <v>NRT1</v>
          </cell>
          <cell r="E325" t="str">
            <v>AMAZON</v>
          </cell>
          <cell r="F325" t="str">
            <v>0000000000</v>
          </cell>
        </row>
        <row r="325">
          <cell r="H325" t="str">
            <v>2-13-1 Shiohama</v>
          </cell>
        </row>
        <row r="325">
          <cell r="K325" t="str">
            <v>Ichikawa</v>
          </cell>
          <cell r="L325" t="str">
            <v>Chiba</v>
          </cell>
          <cell r="M325" t="str">
            <v>JP</v>
          </cell>
          <cell r="N325" t="str">
            <v>272-0193</v>
          </cell>
        </row>
        <row r="326">
          <cell r="A326" t="str">
            <v>NRT2</v>
          </cell>
          <cell r="B326" t="str">
            <v>NRT2</v>
          </cell>
          <cell r="C326" t="str">
            <v>NRT2</v>
          </cell>
          <cell r="D326" t="str">
            <v>NRT2</v>
          </cell>
          <cell r="E326" t="str">
            <v>AMAZON</v>
          </cell>
          <cell r="F326" t="str">
            <v>0000000000</v>
          </cell>
        </row>
        <row r="326">
          <cell r="H326" t="str">
            <v>2036 Kamitakano</v>
          </cell>
        </row>
        <row r="326">
          <cell r="K326" t="str">
            <v>Yachiyo</v>
          </cell>
          <cell r="L326" t="str">
            <v>Chiba</v>
          </cell>
          <cell r="M326" t="str">
            <v>JP</v>
          </cell>
          <cell r="N326" t="str">
            <v>276-8525</v>
          </cell>
        </row>
        <row r="327">
          <cell r="A327" t="str">
            <v>NGO2</v>
          </cell>
          <cell r="B327" t="str">
            <v>NGO2</v>
          </cell>
          <cell r="C327" t="str">
            <v>NGO2</v>
          </cell>
          <cell r="D327" t="str">
            <v>NGO2</v>
          </cell>
          <cell r="E327" t="str">
            <v>AMAZON</v>
          </cell>
          <cell r="F327" t="str">
            <v>0000000000</v>
          </cell>
        </row>
        <row r="327">
          <cell r="H327" t="str">
            <v>10-6 Asahigaoka</v>
          </cell>
        </row>
        <row r="327">
          <cell r="K327" t="str">
            <v>Tajimi</v>
          </cell>
          <cell r="L327" t="str">
            <v>Gifu</v>
          </cell>
          <cell r="M327" t="str">
            <v>JP</v>
          </cell>
          <cell r="N327" t="str">
            <v>507-8585</v>
          </cell>
        </row>
        <row r="328">
          <cell r="A328" t="str">
            <v>MXP5</v>
          </cell>
          <cell r="B328" t="str">
            <v>MXP5</v>
          </cell>
          <cell r="C328" t="str">
            <v>MXP5</v>
          </cell>
          <cell r="D328" t="str">
            <v>MXP5</v>
          </cell>
          <cell r="E328" t="str">
            <v>AMAZON</v>
          </cell>
          <cell r="F328" t="str">
            <v>0000000000</v>
          </cell>
        </row>
        <row r="328">
          <cell r="H328" t="str">
            <v>Strada Dogana Po,2U</v>
          </cell>
        </row>
        <row r="328">
          <cell r="K328" t="str">
            <v>Castel San Giovanni</v>
          </cell>
          <cell r="L328" t="str">
            <v>Piacenza</v>
          </cell>
          <cell r="M328" t="str">
            <v>IT</v>
          </cell>
          <cell r="N328" t="str">
            <v>29015</v>
          </cell>
        </row>
        <row r="329">
          <cell r="A329" t="str">
            <v>FCO1</v>
          </cell>
          <cell r="B329" t="str">
            <v>FCO1</v>
          </cell>
          <cell r="C329" t="str">
            <v>FCO1</v>
          </cell>
          <cell r="D329" t="str">
            <v>FCO1</v>
          </cell>
          <cell r="E329" t="str">
            <v>AMAZON</v>
          </cell>
          <cell r="F329" t="str">
            <v>0000000000</v>
          </cell>
        </row>
        <row r="329">
          <cell r="H329" t="str">
            <v>Via della Meccanica snc 4</v>
          </cell>
        </row>
        <row r="329">
          <cell r="K329" t="str">
            <v>Passo Corese</v>
          </cell>
          <cell r="L329" t="str">
            <v>Rieti</v>
          </cell>
          <cell r="M329" t="str">
            <v>IT</v>
          </cell>
          <cell r="N329" t="str">
            <v>02032</v>
          </cell>
        </row>
        <row r="330">
          <cell r="A330" t="str">
            <v>MXP3</v>
          </cell>
          <cell r="B330" t="str">
            <v>MXP3</v>
          </cell>
          <cell r="C330" t="str">
            <v>MXP3</v>
          </cell>
          <cell r="D330" t="str">
            <v>MXP3</v>
          </cell>
          <cell r="E330" t="str">
            <v>AMAZON</v>
          </cell>
          <cell r="F330" t="str">
            <v>0000000000</v>
          </cell>
        </row>
        <row r="330">
          <cell r="H330" t="str">
            <v>Via Rita Levi Montalcini</v>
          </cell>
        </row>
        <row r="330">
          <cell r="K330" t="str">
            <v>Vercelli</v>
          </cell>
          <cell r="L330" t="str">
            <v>Vercelli</v>
          </cell>
          <cell r="M330" t="str">
            <v>IT</v>
          </cell>
          <cell r="N330" t="str">
            <v>13100</v>
          </cell>
        </row>
        <row r="331">
          <cell r="A331" t="str">
            <v>XITC</v>
          </cell>
          <cell r="B331" t="str">
            <v>XITC</v>
          </cell>
          <cell r="C331" t="str">
            <v>XITC</v>
          </cell>
          <cell r="D331" t="str">
            <v>XITC</v>
          </cell>
          <cell r="E331" t="str">
            <v>AMAZON</v>
          </cell>
          <cell r="F331" t="str">
            <v>0000000000</v>
          </cell>
        </row>
        <row r="331">
          <cell r="H331" t="str">
            <v>Via Aldo Moro 4</v>
          </cell>
        </row>
        <row r="331">
          <cell r="K331" t="str">
            <v>Francolino di Carpiano</v>
          </cell>
          <cell r="L331" t="str">
            <v>Carpiano</v>
          </cell>
          <cell r="M331" t="str">
            <v>IT</v>
          </cell>
          <cell r="N331" t="str">
            <v>20080</v>
          </cell>
        </row>
        <row r="332">
          <cell r="A332" t="str">
            <v>TRN1</v>
          </cell>
          <cell r="B332" t="str">
            <v>TRN1</v>
          </cell>
          <cell r="C332" t="str">
            <v>TRN1</v>
          </cell>
          <cell r="D332" t="str">
            <v>TRN1</v>
          </cell>
          <cell r="E332" t="str">
            <v>AMAZON</v>
          </cell>
          <cell r="F332" t="str">
            <v>0000000000</v>
          </cell>
        </row>
        <row r="332">
          <cell r="H332" t="str">
            <v>Strada Provinciale per Rondissone 90</v>
          </cell>
        </row>
        <row r="332">
          <cell r="K332" t="str">
            <v>Torrazza</v>
          </cell>
          <cell r="L332" t="str">
            <v>Piemonte</v>
          </cell>
          <cell r="M332" t="str">
            <v>IT</v>
          </cell>
          <cell r="N332" t="str">
            <v>10037</v>
          </cell>
        </row>
        <row r="333">
          <cell r="A333" t="str">
            <v>XMP2</v>
          </cell>
          <cell r="B333" t="str">
            <v>XMP2</v>
          </cell>
          <cell r="C333" t="str">
            <v>XMP2</v>
          </cell>
          <cell r="D333" t="str">
            <v>XMP2</v>
          </cell>
          <cell r="E333" t="str">
            <v>AMAZON</v>
          </cell>
          <cell r="F333" t="str">
            <v>0000000000</v>
          </cell>
        </row>
        <row r="333">
          <cell r="H333" t="str">
            <v>Via Aldo Moro 4</v>
          </cell>
        </row>
        <row r="333">
          <cell r="K333" t="str">
            <v>Francolino diCarpiano</v>
          </cell>
          <cell r="L333" t="str">
            <v>Carpiano</v>
          </cell>
          <cell r="M333" t="str">
            <v>IT</v>
          </cell>
          <cell r="N333" t="str">
            <v>20080</v>
          </cell>
        </row>
        <row r="334">
          <cell r="A334" t="str">
            <v>XMP1</v>
          </cell>
          <cell r="B334" t="str">
            <v>XMP1</v>
          </cell>
          <cell r="C334" t="str">
            <v>XMP1</v>
          </cell>
          <cell r="D334" t="str">
            <v>XMP1</v>
          </cell>
          <cell r="E334" t="str">
            <v>AMAZON</v>
          </cell>
          <cell r="F334" t="str">
            <v>0000000000</v>
          </cell>
        </row>
        <row r="334">
          <cell r="H334" t="str">
            <v>Via Maestri Del Lavoro, 990</v>
          </cell>
        </row>
        <row r="334">
          <cell r="K334" t="str">
            <v>Arqua Polesine</v>
          </cell>
          <cell r="L334" t="str">
            <v>Rovigo</v>
          </cell>
          <cell r="M334" t="str">
            <v>IT</v>
          </cell>
          <cell r="N334" t="str">
            <v>45031</v>
          </cell>
        </row>
        <row r="335">
          <cell r="A335" t="str">
            <v>BLQ1</v>
          </cell>
          <cell r="B335" t="str">
            <v>BLQ1</v>
          </cell>
          <cell r="C335" t="str">
            <v>BLQ1</v>
          </cell>
          <cell r="D335" t="str">
            <v>BLQ1</v>
          </cell>
          <cell r="E335" t="str">
            <v>AMAZON</v>
          </cell>
          <cell r="F335" t="str">
            <v>0000000000</v>
          </cell>
        </row>
        <row r="335">
          <cell r="H335" t="str">
            <v>Via Ipazia D’Alessandria 946</v>
          </cell>
        </row>
        <row r="335">
          <cell r="K335" t="str">
            <v>San Bellino</v>
          </cell>
          <cell r="L335" t="str">
            <v>(Rovigo)</v>
          </cell>
          <cell r="M335" t="str">
            <v>IT</v>
          </cell>
          <cell r="N335" t="str">
            <v>45020</v>
          </cell>
        </row>
        <row r="336">
          <cell r="A336" t="str">
            <v>FCO2</v>
          </cell>
          <cell r="B336" t="str">
            <v>FCO2</v>
          </cell>
          <cell r="C336" t="str">
            <v>FCO2</v>
          </cell>
          <cell r="D336" t="str">
            <v>FCO2</v>
          </cell>
          <cell r="E336" t="str">
            <v>AMAZON</v>
          </cell>
          <cell r="F336" t="str">
            <v>0000000000</v>
          </cell>
        </row>
        <row r="336">
          <cell r="H336" t="str">
            <v>Via Palianese</v>
          </cell>
        </row>
        <row r="336">
          <cell r="K336" t="str">
            <v>Colleferro</v>
          </cell>
          <cell r="L336" t="str">
            <v>Rome</v>
          </cell>
          <cell r="M336" t="str">
            <v>IT</v>
          </cell>
          <cell r="N336" t="str">
            <v>00034</v>
          </cell>
        </row>
        <row r="337">
          <cell r="A337" t="str">
            <v>MXP6</v>
          </cell>
          <cell r="B337" t="str">
            <v>MXP6</v>
          </cell>
          <cell r="C337" t="str">
            <v>MXP6</v>
          </cell>
          <cell r="D337" t="str">
            <v>MXP6</v>
          </cell>
          <cell r="E337" t="str">
            <v>AMAZON</v>
          </cell>
          <cell r="F337" t="str">
            <v>0000000000</v>
          </cell>
        </row>
        <row r="337">
          <cell r="H337" t="str">
            <v>Strada Provinciale 299 snc AGOGNATE</v>
          </cell>
        </row>
        <row r="337">
          <cell r="K337" t="str">
            <v>AGOGNATE</v>
          </cell>
          <cell r="L337" t="str">
            <v>NOVARA</v>
          </cell>
          <cell r="M337" t="str">
            <v>IT</v>
          </cell>
          <cell r="N337" t="str">
            <v>28100</v>
          </cell>
        </row>
        <row r="338">
          <cell r="A338" t="str">
            <v>BGY1</v>
          </cell>
          <cell r="B338" t="str">
            <v>BGY1</v>
          </cell>
          <cell r="C338" t="str">
            <v>BGY1</v>
          </cell>
          <cell r="D338" t="str">
            <v>BGY1</v>
          </cell>
          <cell r="E338" t="str">
            <v>AMAZON</v>
          </cell>
          <cell r="F338" t="str">
            <v>0000000000</v>
          </cell>
        </row>
        <row r="338">
          <cell r="H338" t="str">
            <v>Via delle Motte no10</v>
          </cell>
        </row>
        <row r="338">
          <cell r="K338" t="str">
            <v>Cividate al Piano</v>
          </cell>
          <cell r="L338" t="str">
            <v>BERGAMO</v>
          </cell>
          <cell r="M338" t="str">
            <v>IT</v>
          </cell>
          <cell r="N338" t="str">
            <v>24050</v>
          </cell>
        </row>
        <row r="339">
          <cell r="A339" t="str">
            <v>XITF</v>
          </cell>
          <cell r="B339" t="str">
            <v>XITF</v>
          </cell>
          <cell r="C339" t="str">
            <v>XITF</v>
          </cell>
          <cell r="D339" t="str">
            <v>XITF</v>
          </cell>
          <cell r="E339" t="str">
            <v>AMAZON</v>
          </cell>
          <cell r="F339" t="str">
            <v>0000000000</v>
          </cell>
        </row>
        <row r="339">
          <cell r="H339" t="str">
            <v>Strada della Torre della Razza 62</v>
          </cell>
        </row>
        <row r="339">
          <cell r="K339" t="str">
            <v>Piacenza</v>
          </cell>
          <cell r="L339" t="str">
            <v>Le mose</v>
          </cell>
          <cell r="M339" t="str">
            <v>IT</v>
          </cell>
          <cell r="N339" t="str">
            <v>29100</v>
          </cell>
        </row>
        <row r="340">
          <cell r="A340" t="str">
            <v>HND9</v>
          </cell>
          <cell r="B340" t="str">
            <v>HND9</v>
          </cell>
          <cell r="C340" t="str">
            <v>HND9</v>
          </cell>
          <cell r="D340" t="str">
            <v>HND9</v>
          </cell>
          <cell r="E340" t="str">
            <v>AMAZON</v>
          </cell>
          <cell r="F340" t="str">
            <v>0000000000</v>
          </cell>
        </row>
        <row r="340">
          <cell r="H340" t="str">
            <v>高津区北見方3-14-1
川崎市, 神奈川県 213-8517</v>
          </cell>
        </row>
        <row r="340">
          <cell r="K340" t="str">
            <v>川崎市</v>
          </cell>
          <cell r="L340" t="str">
            <v>神奈川県</v>
          </cell>
          <cell r="M340" t="str">
            <v>JP</v>
          </cell>
          <cell r="N340" t="str">
            <v>213-8517</v>
          </cell>
        </row>
        <row r="341">
          <cell r="A341" t="str">
            <v>XBH7</v>
          </cell>
          <cell r="B341" t="str">
            <v>XBH7</v>
          </cell>
          <cell r="C341" t="str">
            <v>XBH7</v>
          </cell>
          <cell r="D341" t="str">
            <v>XBH7</v>
          </cell>
          <cell r="E341" t="str">
            <v>AMAZON</v>
          </cell>
          <cell r="F341" t="str">
            <v>0000000000</v>
          </cell>
        </row>
        <row r="341">
          <cell r="H341" t="str">
            <v>Fortress Way Suffolk Park Bury St. Edmunds IP32 7FQ GB</v>
          </cell>
        </row>
        <row r="341">
          <cell r="K341" t="str">
            <v>BURY ST. EDMUNDS</v>
          </cell>
        </row>
        <row r="341">
          <cell r="M341" t="str">
            <v>GB</v>
          </cell>
          <cell r="N341" t="str">
            <v>IP32 7FQ</v>
          </cell>
        </row>
        <row r="342">
          <cell r="A342" t="str">
            <v>F21</v>
          </cell>
          <cell r="B342" t="str">
            <v>F21</v>
          </cell>
        </row>
        <row r="342">
          <cell r="D342" t="str">
            <v>F21 OPCO, LLC</v>
          </cell>
          <cell r="E342" t="str">
            <v>F21 OPCO, LLC</v>
          </cell>
          <cell r="F342" t="str">
            <v>213-741-8866</v>
          </cell>
        </row>
        <row r="342">
          <cell r="H342" t="str">
            <v>4323 INDIAN AVENUE</v>
          </cell>
        </row>
        <row r="342">
          <cell r="K342" t="str">
            <v>PERRIS</v>
          </cell>
          <cell r="L342" t="str">
            <v>CA</v>
          </cell>
          <cell r="M342" t="str">
            <v>US</v>
          </cell>
          <cell r="N342" t="str">
            <v>92571</v>
          </cell>
        </row>
        <row r="343">
          <cell r="A343" t="str">
            <v>HAJ1</v>
          </cell>
          <cell r="B343" t="str">
            <v>HAJ1</v>
          </cell>
          <cell r="C343" t="str">
            <v>HAJ1</v>
          </cell>
          <cell r="D343" t="str">
            <v>HAJ1</v>
          </cell>
          <cell r="E343" t="str">
            <v>AMAZON</v>
          </cell>
          <cell r="F343" t="str">
            <v>000000000</v>
          </cell>
        </row>
        <row r="343">
          <cell r="H343" t="str">
            <v>Zur Alten Molkerei 1</v>
          </cell>
        </row>
        <row r="343">
          <cell r="K343" t="str">
            <v>Helmstedt</v>
          </cell>
          <cell r="L343" t="str">
            <v>Lower Saxony</v>
          </cell>
          <cell r="M343" t="str">
            <v>DE</v>
          </cell>
          <cell r="N343" t="str">
            <v>38350</v>
          </cell>
        </row>
        <row r="344">
          <cell r="A344" t="str">
            <v>IL</v>
          </cell>
          <cell r="B344" t="str">
            <v>IL</v>
          </cell>
        </row>
        <row r="344">
          <cell r="D344" t="str">
            <v>Ehab Samir Jwalis</v>
          </cell>
        </row>
        <row r="344">
          <cell r="F344" t="str">
            <v>972542269711</v>
          </cell>
        </row>
        <row r="344">
          <cell r="H344" t="str">
            <v>Jerusalem Neve Yaacov 9127202 Post no:27320 IL ID No:301146536 Jerusalem IL 9127202 IL</v>
          </cell>
        </row>
        <row r="344">
          <cell r="K344" t="str">
            <v>Jerusalem</v>
          </cell>
          <cell r="L344" t="str">
            <v>IL</v>
          </cell>
          <cell r="M344" t="str">
            <v>IL</v>
          </cell>
          <cell r="N344" t="str">
            <v>9127202</v>
          </cell>
        </row>
        <row r="345">
          <cell r="A345" t="str">
            <v>LPL2</v>
          </cell>
          <cell r="B345" t="str">
            <v>LPL2</v>
          </cell>
          <cell r="C345" t="str">
            <v>LPL2</v>
          </cell>
          <cell r="D345" t="str">
            <v>LPL2</v>
          </cell>
          <cell r="E345" t="str">
            <v>AMAZON</v>
          </cell>
          <cell r="F345" t="str">
            <v>0000000000</v>
          </cell>
        </row>
        <row r="345">
          <cell r="H345" t="str">
            <v>LPL2-Unit 1 Marl Road PLP Knowsley</v>
          </cell>
        </row>
        <row r="345">
          <cell r="K345" t="str">
            <v>LIVERPOOL</v>
          </cell>
          <cell r="L345" t="str">
            <v>Lancashire</v>
          </cell>
          <cell r="M345" t="str">
            <v>GB</v>
          </cell>
          <cell r="N345" t="str">
            <v>L33 7AP</v>
          </cell>
        </row>
        <row r="346">
          <cell r="A346" t="str">
            <v>K9</v>
          </cell>
          <cell r="B346" t="str">
            <v>K9</v>
          </cell>
        </row>
        <row r="346">
          <cell r="D346" t="str">
            <v>K9 fishing products</v>
          </cell>
        </row>
        <row r="346">
          <cell r="F346" t="str">
            <v>615-804-4040</v>
          </cell>
        </row>
        <row r="346">
          <cell r="H346" t="str">
            <v>143 New Shackle Island Rd. Ste-14</v>
          </cell>
        </row>
        <row r="346">
          <cell r="K346" t="str">
            <v>Hendersonville</v>
          </cell>
          <cell r="L346" t="str">
            <v>TN</v>
          </cell>
          <cell r="M346" t="str">
            <v>US</v>
          </cell>
          <cell r="N346" t="str">
            <v>37075</v>
          </cell>
        </row>
        <row r="347">
          <cell r="A347" t="str">
            <v>LCJ3</v>
          </cell>
          <cell r="B347" t="str">
            <v>LCJ3</v>
          </cell>
          <cell r="C347" t="str">
            <v>LCJ3</v>
          </cell>
          <cell r="D347" t="str">
            <v>LCJ3</v>
          </cell>
        </row>
        <row r="347">
          <cell r="F347" t="str">
            <v>00000000000</v>
          </cell>
        </row>
        <row r="347">
          <cell r="H347" t="str">
            <v>Amm GmbH &amp; Co KG SpeditionHamburger Str. 99</v>
          </cell>
        </row>
        <row r="347">
          <cell r="K347" t="str">
            <v>Nuernberg</v>
          </cell>
          <cell r="L347" t="str">
            <v>Bavaria</v>
          </cell>
          <cell r="M347" t="str">
            <v>DE</v>
          </cell>
          <cell r="N347" t="str">
            <v>90451</v>
          </cell>
        </row>
        <row r="348">
          <cell r="A348" t="str">
            <v>FRED DAVID</v>
          </cell>
          <cell r="B348" t="str">
            <v>FREDDAVID</v>
          </cell>
        </row>
        <row r="348">
          <cell r="D348" t="str">
            <v>FRED DAVID</v>
          </cell>
        </row>
        <row r="348">
          <cell r="F348" t="str">
            <v>5142862666ext.6168</v>
          </cell>
        </row>
        <row r="348">
          <cell r="H348" t="str">
            <v>14731 INDUSTRY CIRCLE</v>
          </cell>
        </row>
        <row r="348">
          <cell r="K348" t="str">
            <v>LA MIRADA</v>
          </cell>
          <cell r="L348" t="str">
            <v>CA</v>
          </cell>
          <cell r="M348" t="str">
            <v>US</v>
          </cell>
          <cell r="N348" t="str">
            <v>90638</v>
          </cell>
        </row>
        <row r="349">
          <cell r="A349" t="str">
            <v>YOO1</v>
          </cell>
          <cell r="B349" t="str">
            <v>YOO1</v>
          </cell>
          <cell r="C349" t="str">
            <v>YOO1</v>
          </cell>
          <cell r="D349" t="str">
            <v>YOO1</v>
          </cell>
        </row>
        <row r="349">
          <cell r="F349" t="str">
            <v>00000000000</v>
          </cell>
        </row>
        <row r="349">
          <cell r="H349" t="str">
            <v>789 Salem Rd N</v>
          </cell>
        </row>
        <row r="349">
          <cell r="K349" t="str">
            <v>Ajax</v>
          </cell>
          <cell r="L349" t="str">
            <v>ON</v>
          </cell>
          <cell r="M349" t="str">
            <v>CA</v>
          </cell>
          <cell r="N349" t="str">
            <v>L1Z 0J2</v>
          </cell>
        </row>
        <row r="350">
          <cell r="A350" t="str">
            <v>QXY9</v>
          </cell>
          <cell r="B350" t="str">
            <v>QXY9</v>
          </cell>
          <cell r="C350" t="str">
            <v>QXY9</v>
          </cell>
          <cell r="D350" t="str">
            <v>QXY9</v>
          </cell>
          <cell r="E350" t="str">
            <v>AMAZON</v>
          </cell>
          <cell r="F350" t="str">
            <v>0000000000</v>
          </cell>
        </row>
        <row r="350">
          <cell r="H350" t="str">
            <v>36900 W FOURTH ST</v>
          </cell>
        </row>
        <row r="350">
          <cell r="K350" t="str">
            <v>BEAUMONT</v>
          </cell>
          <cell r="L350" t="str">
            <v>CA</v>
          </cell>
          <cell r="M350" t="str">
            <v>US</v>
          </cell>
          <cell r="N350" t="str">
            <v>92223</v>
          </cell>
        </row>
        <row r="351">
          <cell r="A351" t="str">
            <v>BCN2</v>
          </cell>
          <cell r="B351" t="str">
            <v>BCN2</v>
          </cell>
          <cell r="C351" t="str">
            <v>BCN2</v>
          </cell>
          <cell r="D351" t="str">
            <v>BCN2</v>
          </cell>
          <cell r="E351" t="str">
            <v>AMAZON</v>
          </cell>
          <cell r="F351" t="str">
            <v>0000000000</v>
          </cell>
        </row>
        <row r="351">
          <cell r="H351" t="str">
            <v>Carrer de la VERNEDA 22MARTORELLES, Barcelona 08107</v>
          </cell>
        </row>
        <row r="351">
          <cell r="K351" t="str">
            <v>MARTORELLES</v>
          </cell>
          <cell r="L351" t="str">
            <v>Barcelona</v>
          </cell>
          <cell r="M351" t="str">
            <v>ES</v>
          </cell>
          <cell r="N351" t="str">
            <v>08107</v>
          </cell>
        </row>
        <row r="352">
          <cell r="A352" t="str">
            <v>BCN1</v>
          </cell>
          <cell r="B352" t="str">
            <v>BCN1</v>
          </cell>
          <cell r="C352" t="str">
            <v>BCN1</v>
          </cell>
          <cell r="D352" t="str">
            <v>BCN1</v>
          </cell>
          <cell r="E352" t="str">
            <v>AMAZON</v>
          </cell>
          <cell r="F352" t="str">
            <v>0000000000</v>
          </cell>
        </row>
        <row r="352">
          <cell r="H352" t="str">
            <v>Av. de les Garrigues num. 6-8 El Prat de LlobregatBarcelona 08820 Spain</v>
          </cell>
        </row>
        <row r="352">
          <cell r="K352" t="str">
            <v>Barcelona</v>
          </cell>
          <cell r="L352" t="str">
            <v>Barcelona</v>
          </cell>
          <cell r="M352" t="str">
            <v>ES</v>
          </cell>
          <cell r="N352" t="str">
            <v>08820</v>
          </cell>
        </row>
        <row r="353">
          <cell r="A353" t="str">
            <v>XESA</v>
          </cell>
          <cell r="B353" t="str">
            <v>XESA</v>
          </cell>
          <cell r="C353" t="str">
            <v>XESA</v>
          </cell>
          <cell r="D353" t="str">
            <v>XESA</v>
          </cell>
          <cell r="E353" t="str">
            <v>AMAZON</v>
          </cell>
          <cell r="F353" t="str">
            <v>0000000000</v>
          </cell>
        </row>
        <row r="353">
          <cell r="H353" t="str">
            <v>ES Norbert NS 3PL,Avenida Rio Henares, 16 ND Logistics Alovera 19208 Spain</v>
          </cell>
        </row>
        <row r="353">
          <cell r="K353" t="str">
            <v>Alovera</v>
          </cell>
          <cell r="L353" t="str">
            <v>Alovera</v>
          </cell>
          <cell r="M353" t="str">
            <v>ES</v>
          </cell>
          <cell r="N353" t="str">
            <v>19208</v>
          </cell>
        </row>
        <row r="354">
          <cell r="A354" t="str">
            <v>MAD4</v>
          </cell>
          <cell r="B354" t="str">
            <v>MAD4</v>
          </cell>
          <cell r="C354" t="str">
            <v>MAD4</v>
          </cell>
          <cell r="D354" t="str">
            <v>MAD4</v>
          </cell>
          <cell r="E354" t="str">
            <v>AMAZON</v>
          </cell>
          <cell r="F354" t="str">
            <v>0000000000</v>
          </cell>
        </row>
        <row r="354">
          <cell r="H354" t="str">
            <v>Amazon.es Avenida de la Astronomia, 24 San Fernando de Henares Madrid 28830 Spain</v>
          </cell>
        </row>
        <row r="354">
          <cell r="K354" t="str">
            <v>Madrid</v>
          </cell>
          <cell r="L354" t="str">
            <v>Madrid</v>
          </cell>
          <cell r="M354" t="str">
            <v>ES</v>
          </cell>
          <cell r="N354" t="str">
            <v>28830</v>
          </cell>
        </row>
        <row r="355">
          <cell r="A355" t="str">
            <v>ZL</v>
          </cell>
          <cell r="B355" t="str">
            <v>ZL</v>
          </cell>
        </row>
        <row r="355">
          <cell r="D355" t="str">
            <v>BISUTERIAS MILLONES LIMITADA</v>
          </cell>
        </row>
        <row r="355">
          <cell r="F355" t="str">
            <v>0502-2732-9345</v>
          </cell>
        </row>
        <row r="355">
          <cell r="H355" t="str">
            <v>MANZANO 236，RECOLETA,SANTIAGO,CHILE RUT:76.157.688-7 E-MAIL:HUNJOO82@HOTMAIL.COM</v>
          </cell>
        </row>
        <row r="355">
          <cell r="K355" t="str">
            <v>SANTIAGO</v>
          </cell>
        </row>
        <row r="355">
          <cell r="M355" t="str">
            <v>CL</v>
          </cell>
          <cell r="N355" t="str">
            <v>0000</v>
          </cell>
        </row>
        <row r="356">
          <cell r="A356" t="str">
            <v>ORF2-</v>
          </cell>
          <cell r="B356" t="str">
            <v>ORF2-</v>
          </cell>
        </row>
        <row r="356">
          <cell r="D356" t="str">
            <v>ORF2-</v>
          </cell>
          <cell r="E356" t="str">
            <v>AMAZON</v>
          </cell>
          <cell r="F356" t="str">
            <v>0000000000</v>
          </cell>
        </row>
        <row r="356">
          <cell r="H356" t="str">
            <v>5045 Portsmouth Blvd</v>
          </cell>
        </row>
        <row r="356">
          <cell r="K356" t="str">
            <v>Chesapeake</v>
          </cell>
          <cell r="L356" t="str">
            <v>VA</v>
          </cell>
          <cell r="M356" t="str">
            <v>US</v>
          </cell>
          <cell r="N356" t="str">
            <v>23321</v>
          </cell>
        </row>
        <row r="357">
          <cell r="A357" t="str">
            <v>OLM1</v>
          </cell>
          <cell r="B357" t="str">
            <v>OLM1</v>
          </cell>
          <cell r="C357" t="str">
            <v>OLM1</v>
          </cell>
          <cell r="D357" t="str">
            <v>OLM1</v>
          </cell>
          <cell r="E357" t="str">
            <v>OLM1</v>
          </cell>
          <cell r="F357" t="str">
            <v>000000000</v>
          </cell>
        </row>
        <row r="357">
          <cell r="H357" t="str">
            <v>3300 HOGUM BAY RD NE</v>
          </cell>
        </row>
        <row r="357">
          <cell r="K357" t="str">
            <v>OLYMPIA</v>
          </cell>
          <cell r="L357" t="str">
            <v>WA</v>
          </cell>
          <cell r="M357" t="str">
            <v>US</v>
          </cell>
          <cell r="N357" t="str">
            <v>98516-3111</v>
          </cell>
        </row>
        <row r="358">
          <cell r="A358" t="str">
            <v>SCK6</v>
          </cell>
          <cell r="B358" t="str">
            <v>SCK6</v>
          </cell>
          <cell r="C358" t="str">
            <v>SCK6</v>
          </cell>
          <cell r="D358" t="str">
            <v>SCK6</v>
          </cell>
          <cell r="E358" t="str">
            <v>AMAZON</v>
          </cell>
          <cell r="F358" t="str">
            <v>000000000</v>
          </cell>
        </row>
        <row r="358">
          <cell r="H358" t="str">
            <v>1500 East Grant Line Rd</v>
          </cell>
        </row>
        <row r="358">
          <cell r="K358" t="str">
            <v>TRACY</v>
          </cell>
          <cell r="L358" t="str">
            <v>CA</v>
          </cell>
          <cell r="M358" t="str">
            <v>US</v>
          </cell>
          <cell r="N358" t="str">
            <v>95304</v>
          </cell>
        </row>
        <row r="361">
          <cell r="A361" t="str">
            <v>VGT2-</v>
          </cell>
          <cell r="B361" t="str">
            <v>VGT2-</v>
          </cell>
          <cell r="C361" t="str">
            <v>VGT2</v>
          </cell>
          <cell r="D361" t="str">
            <v>VGT2</v>
          </cell>
          <cell r="E361" t="str">
            <v>AMAZON</v>
          </cell>
          <cell r="F361" t="str">
            <v>0000000000</v>
          </cell>
        </row>
        <row r="361">
          <cell r="H361" t="str">
            <v>20701 Krameria Avenue</v>
          </cell>
        </row>
        <row r="361">
          <cell r="K361" t="str">
            <v>March Air Reserve Base,</v>
          </cell>
          <cell r="L361" t="str">
            <v>CA</v>
          </cell>
          <cell r="M361" t="str">
            <v>US</v>
          </cell>
          <cell r="N361" t="str">
            <v>92518</v>
          </cell>
        </row>
        <row r="364">
          <cell r="A364" t="str">
            <v>1</v>
          </cell>
          <cell r="B364" t="str">
            <v>1</v>
          </cell>
        </row>
        <row r="364">
          <cell r="D364" t="str">
            <v>Ehab Samir Jwalis</v>
          </cell>
        </row>
        <row r="364">
          <cell r="F364" t="str">
            <v>972542269711</v>
          </cell>
        </row>
        <row r="364">
          <cell r="H364" t="str">
            <v>Jerusalem neve yaacov Telaviv-Israel ID:301146536 9127202</v>
          </cell>
        </row>
        <row r="364">
          <cell r="K364" t="str">
            <v>Telaviv</v>
          </cell>
        </row>
        <row r="364">
          <cell r="M364" t="str">
            <v>IL</v>
          </cell>
          <cell r="N364" t="str">
            <v>9127202</v>
          </cell>
        </row>
        <row r="365">
          <cell r="A365" t="str">
            <v>SWF2</v>
          </cell>
          <cell r="B365" t="str">
            <v>SWF2</v>
          </cell>
          <cell r="C365" t="str">
            <v>SWF2</v>
          </cell>
          <cell r="D365" t="str">
            <v>SWF2</v>
          </cell>
          <cell r="E365" t="str">
            <v>AMAZON</v>
          </cell>
          <cell r="F365" t="str">
            <v>0000000000</v>
          </cell>
        </row>
        <row r="365">
          <cell r="H365" t="str">
            <v>76 Patriot Way</v>
          </cell>
        </row>
        <row r="365">
          <cell r="K365" t="str">
            <v>Hopewell Junction</v>
          </cell>
          <cell r="L365" t="str">
            <v>NY</v>
          </cell>
          <cell r="M365" t="str">
            <v>US</v>
          </cell>
          <cell r="N365" t="str">
            <v>12533-6159</v>
          </cell>
        </row>
        <row r="366">
          <cell r="A366" t="str">
            <v>AVP9</v>
          </cell>
          <cell r="B366" t="str">
            <v>AVP9</v>
          </cell>
          <cell r="C366" t="str">
            <v>AVP9</v>
          </cell>
          <cell r="D366" t="str">
            <v>AVP9</v>
          </cell>
          <cell r="E366" t="str">
            <v>AMAZON</v>
          </cell>
          <cell r="F366" t="str">
            <v>0000000000</v>
          </cell>
        </row>
        <row r="366">
          <cell r="H366" t="str">
            <v>45 VALLEY VIEW DR</v>
          </cell>
        </row>
        <row r="366">
          <cell r="K366" t="str">
            <v>JESSUP</v>
          </cell>
          <cell r="L366" t="str">
            <v>PA</v>
          </cell>
          <cell r="M366" t="str">
            <v>US</v>
          </cell>
          <cell r="N366" t="str">
            <v>18434-1153</v>
          </cell>
        </row>
      </sheetData>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174"/>
  <sheetViews>
    <sheetView tabSelected="1" workbookViewId="0">
      <selection activeCell="C33" sqref="C33"/>
    </sheetView>
  </sheetViews>
  <sheetFormatPr defaultColWidth="11.8666666666667" defaultRowHeight="14.25" customHeight="1"/>
  <cols>
    <col min="1" max="1" width="27.2857142857143" customWidth="1"/>
    <col min="2" max="2" width="33.2857142857143" customWidth="1"/>
    <col min="3" max="3" width="56.8571428571429" customWidth="1"/>
    <col min="4" max="5" width="17" customWidth="1"/>
    <col min="6" max="6" width="15.7142857142857" customWidth="1"/>
    <col min="7" max="7" width="12.5714285714286"/>
    <col min="8" max="8" width="22.7142857142857" customWidth="1"/>
    <col min="9" max="9" width="13.5714285714286" customWidth="1"/>
    <col min="10" max="10" width="20.5714285714286" customWidth="1"/>
    <col min="11" max="11" width="17.8380952380952" customWidth="1"/>
    <col min="12" max="12" width="15.4285714285714" customWidth="1"/>
    <col min="13" max="13" width="13.2857142857143"/>
    <col min="16" max="16" width="17.8285714285714" customWidth="1"/>
    <col min="17" max="17" width="11.4285714285714"/>
    <col min="18" max="18" width="12"/>
    <col min="19" max="19" width="13"/>
    <col min="20" max="20" width="12.4285714285714"/>
    <col min="22" max="22" width="12.2857142857143"/>
  </cols>
  <sheetData>
    <row r="1" ht="17" customHeight="1" spans="1:15">
      <c r="A1" s="26" t="s">
        <v>0</v>
      </c>
      <c r="B1" s="27"/>
      <c r="C1" s="28"/>
      <c r="E1" s="29" t="s">
        <v>1</v>
      </c>
      <c r="F1" s="29"/>
      <c r="G1" s="29"/>
      <c r="H1" s="29"/>
      <c r="I1" s="27"/>
      <c r="J1" s="27"/>
      <c r="K1" s="27"/>
      <c r="L1" s="30"/>
      <c r="M1" s="30"/>
      <c r="N1" s="30"/>
      <c r="O1" s="30"/>
    </row>
    <row r="2" ht="17" customHeight="1" spans="1:15">
      <c r="A2" s="31" t="s">
        <v>2</v>
      </c>
      <c r="B2" s="13"/>
      <c r="C2" s="28" t="s">
        <v>3</v>
      </c>
      <c r="E2" s="32"/>
      <c r="F2" s="32"/>
      <c r="G2" s="32"/>
      <c r="H2" s="32"/>
      <c r="I2" s="27"/>
      <c r="J2" s="27"/>
      <c r="K2" s="27"/>
      <c r="L2" s="30"/>
      <c r="M2" s="30"/>
      <c r="N2" s="30"/>
      <c r="O2" s="30"/>
    </row>
    <row r="3" customHeight="1" spans="1:15">
      <c r="A3" s="26" t="s">
        <v>4</v>
      </c>
      <c r="B3" s="3" t="e">
        <f xml:space="preserve">VLOOKUP(B2,亚马逊地址库!A:N,1,0)</f>
        <v>#N/A</v>
      </c>
      <c r="D3" s="33"/>
      <c r="E3" s="32"/>
      <c r="F3" s="32"/>
      <c r="G3" s="32"/>
      <c r="H3" s="32"/>
      <c r="I3" s="27"/>
      <c r="J3" s="27"/>
      <c r="K3" s="27"/>
      <c r="L3" s="30"/>
      <c r="M3" s="30"/>
    </row>
    <row r="4" customHeight="1" spans="1:15">
      <c r="A4" s="34" t="s">
        <v>5</v>
      </c>
      <c r="B4" s="35" t="e">
        <f xml:space="preserve">VLOOKUP(B3,亚马逊地址库!A:N,5,0)</f>
        <v>#N/A</v>
      </c>
      <c r="D4" s="33"/>
      <c r="E4" s="32"/>
      <c r="F4" s="32"/>
      <c r="G4" s="32"/>
      <c r="H4" s="32"/>
      <c r="I4" s="27"/>
      <c r="J4" s="27"/>
      <c r="K4" s="27"/>
      <c r="L4" s="30"/>
      <c r="M4" s="30"/>
    </row>
    <row r="5" ht="15" customHeight="1" spans="1:15">
      <c r="A5" s="26" t="s">
        <v>6</v>
      </c>
      <c r="B5" s="35" t="e">
        <f xml:space="preserve">VLOOKUP($B$2,亚马逊地址库!A:N,8,0)</f>
        <v>#N/A</v>
      </c>
      <c r="C5" s="36"/>
      <c r="D5" s="33"/>
      <c r="E5" s="32"/>
      <c r="F5" s="32"/>
      <c r="G5" s="32"/>
      <c r="H5" s="32"/>
      <c r="I5" s="27"/>
      <c r="J5" s="27"/>
      <c r="K5" s="27"/>
      <c r="L5" s="30"/>
      <c r="M5" s="30"/>
    </row>
    <row r="6" customHeight="1" spans="1:15">
      <c r="A6" s="34" t="s">
        <v>7</v>
      </c>
      <c r="D6" s="33"/>
      <c r="E6" s="32"/>
      <c r="F6" s="32"/>
      <c r="G6" s="32"/>
      <c r="H6" s="32"/>
      <c r="I6" s="27"/>
      <c r="J6" s="27"/>
      <c r="K6" s="27"/>
      <c r="L6" s="30"/>
      <c r="M6" s="30"/>
    </row>
    <row r="7" customHeight="1" spans="1:15">
      <c r="A7" s="34" t="s">
        <v>8</v>
      </c>
      <c r="D7" s="33"/>
      <c r="E7" s="32"/>
      <c r="F7" s="32"/>
      <c r="G7" s="32"/>
      <c r="H7" s="32"/>
      <c r="I7" s="27"/>
      <c r="J7" s="27"/>
      <c r="K7" s="27"/>
      <c r="L7" s="30"/>
      <c r="M7" s="30"/>
    </row>
    <row r="8" customHeight="1" spans="1:15">
      <c r="A8" s="26" t="s">
        <v>9</v>
      </c>
      <c r="B8" s="35" t="e">
        <f xml:space="preserve">VLOOKUP($B$2,亚马逊地址库!A:N,11,0)</f>
        <v>#N/A</v>
      </c>
      <c r="D8" s="33"/>
      <c r="E8" s="32"/>
      <c r="F8" s="32"/>
      <c r="G8" s="32"/>
      <c r="H8" s="32"/>
      <c r="I8" s="27"/>
      <c r="J8" s="27"/>
      <c r="K8" s="27"/>
      <c r="L8" s="30"/>
      <c r="M8" s="30"/>
    </row>
    <row r="9" customHeight="1" spans="1:15">
      <c r="A9" s="26" t="s">
        <v>10</v>
      </c>
      <c r="B9" s="35" t="e">
        <f xml:space="preserve">VLOOKUP($B$2,亚马逊地址库!A:N,12,0)</f>
        <v>#N/A</v>
      </c>
      <c r="D9" s="33"/>
      <c r="E9" s="32"/>
      <c r="F9" s="32"/>
      <c r="G9" s="32"/>
      <c r="H9" s="32"/>
      <c r="I9" s="27"/>
      <c r="J9" s="27"/>
      <c r="K9" s="27"/>
      <c r="L9" s="30"/>
      <c r="M9" s="30"/>
    </row>
    <row r="10" customHeight="1" spans="1:15">
      <c r="A10" s="26" t="s">
        <v>11</v>
      </c>
      <c r="B10" s="37" t="e">
        <f xml:space="preserve">VLOOKUP($B$2,亚马逊地址库!A:N,14,0)</f>
        <v>#N/A</v>
      </c>
      <c r="D10" s="33"/>
      <c r="E10" s="32"/>
      <c r="F10" s="32"/>
      <c r="G10" s="32"/>
      <c r="H10" s="32"/>
      <c r="I10" s="27"/>
      <c r="J10" s="27"/>
      <c r="K10" s="27"/>
      <c r="L10" s="30"/>
      <c r="M10" s="30"/>
    </row>
    <row r="11" customHeight="1" spans="1:15">
      <c r="A11" s="26" t="s">
        <v>12</v>
      </c>
      <c r="B11" s="35" t="e">
        <f xml:space="preserve">VLOOKUP($B$2,亚马逊地址库!A:N,13,0)</f>
        <v>#N/A</v>
      </c>
      <c r="E11" s="32"/>
      <c r="F11" s="32"/>
      <c r="G11" s="32"/>
      <c r="H11" s="32"/>
      <c r="I11" s="27"/>
      <c r="J11" s="27"/>
      <c r="K11" s="27"/>
    </row>
    <row r="12" customHeight="1" spans="1:15">
      <c r="A12" s="26" t="s">
        <v>13</v>
      </c>
      <c r="B12" s="35" t="e">
        <f xml:space="preserve">VLOOKUP($B$2,亚马逊地址库!A:N,6,0)</f>
        <v>#N/A</v>
      </c>
      <c r="C12" s="38"/>
      <c r="E12" s="32"/>
      <c r="F12" s="32"/>
      <c r="G12" s="32"/>
      <c r="H12" s="32"/>
      <c r="I12" s="27"/>
      <c r="J12" s="27"/>
      <c r="K12" s="27"/>
    </row>
    <row r="13" spans="1:15">
      <c r="A13" s="23" t="s">
        <v>14</v>
      </c>
      <c r="C13" s="39"/>
      <c r="E13" s="32"/>
      <c r="F13" s="32"/>
      <c r="G13" s="32"/>
      <c r="H13" s="32"/>
      <c r="I13" s="27"/>
      <c r="J13" s="27"/>
      <c r="K13" s="27"/>
    </row>
    <row r="14" customHeight="1" spans="1:15">
      <c r="A14" s="34" t="s">
        <v>15</v>
      </c>
      <c r="B14" s="40"/>
      <c r="E14" s="32"/>
      <c r="F14" s="32"/>
      <c r="G14" s="32"/>
      <c r="H14" s="32"/>
      <c r="I14" s="27"/>
      <c r="J14" s="27"/>
      <c r="K14" s="27"/>
    </row>
    <row r="15" customHeight="1" spans="1:15">
      <c r="A15" s="26" t="s">
        <v>16</v>
      </c>
      <c r="B15" s="41" t="s">
        <v>17</v>
      </c>
      <c r="C15" s="42"/>
      <c r="E15" s="32"/>
      <c r="F15" s="32"/>
      <c r="G15" s="32"/>
      <c r="H15" s="32"/>
      <c r="I15" s="27"/>
      <c r="J15" s="27"/>
      <c r="K15" s="27"/>
    </row>
    <row r="16" customHeight="1" spans="1:15">
      <c r="A16" s="26" t="s">
        <v>18</v>
      </c>
      <c r="B16" s="41" t="s">
        <v>19</v>
      </c>
      <c r="C16" s="42"/>
      <c r="D16" s="43"/>
      <c r="E16" s="43"/>
      <c r="F16" s="43"/>
      <c r="G16" s="43"/>
      <c r="H16" s="43"/>
      <c r="I16" s="43"/>
      <c r="J16" s="43"/>
    </row>
    <row r="17" ht="18" customHeight="1" spans="1:24">
      <c r="A17" s="44" t="s">
        <v>20</v>
      </c>
      <c r="B17" s="41" t="s">
        <v>21</v>
      </c>
      <c r="C17" s="45"/>
      <c r="D17" s="43"/>
      <c r="E17" s="43"/>
      <c r="F17" s="43"/>
      <c r="G17" s="43"/>
      <c r="H17" s="43"/>
      <c r="I17" s="43"/>
      <c r="J17" s="43"/>
    </row>
    <row r="18" customHeight="1" spans="1:24">
      <c r="A18" s="26" t="s">
        <v>22</v>
      </c>
      <c r="B18" s="41" t="s">
        <v>17</v>
      </c>
      <c r="C18" s="42"/>
      <c r="D18" s="43"/>
      <c r="E18" s="43"/>
      <c r="F18" s="43"/>
      <c r="G18" s="43"/>
      <c r="H18" s="43"/>
      <c r="I18" s="43"/>
      <c r="J18" s="43"/>
    </row>
    <row r="19" customHeight="1" spans="1:24">
      <c r="A19" s="26" t="s">
        <v>23</v>
      </c>
      <c r="B19" s="46"/>
      <c r="D19" s="43"/>
      <c r="E19" s="43"/>
      <c r="F19" s="43"/>
      <c r="G19" s="43"/>
      <c r="H19" s="43"/>
      <c r="I19" s="43"/>
      <c r="J19" s="43"/>
    </row>
    <row r="20" customHeight="1" spans="1:24">
      <c r="A20" s="26" t="s">
        <v>24</v>
      </c>
      <c r="B20" s="41" t="s">
        <v>25</v>
      </c>
      <c r="C20" s="42"/>
      <c r="D20" s="43"/>
      <c r="F20" s="43"/>
      <c r="G20" s="43"/>
      <c r="H20" s="43"/>
      <c r="I20" s="43"/>
      <c r="J20" s="43"/>
    </row>
    <row r="21" customHeight="1" spans="1:24">
      <c r="A21" s="26" t="s">
        <v>26</v>
      </c>
      <c r="B21" s="27" t="s">
        <v>27</v>
      </c>
      <c r="C21" s="42" t="s">
        <v>28</v>
      </c>
      <c r="D21" s="43"/>
      <c r="F21" s="43"/>
      <c r="G21" s="43"/>
      <c r="H21" s="43"/>
      <c r="I21" s="43"/>
      <c r="J21" s="43"/>
    </row>
    <row r="22" customHeight="1" spans="1:24">
      <c r="A22" s="26" t="s">
        <v>29</v>
      </c>
      <c r="B22" s="41"/>
      <c r="C22" s="42"/>
      <c r="D22" s="43"/>
      <c r="F22" s="43"/>
      <c r="G22" s="43"/>
      <c r="H22" s="43"/>
      <c r="I22" s="43"/>
      <c r="J22" s="43"/>
    </row>
    <row r="23" customHeight="1" spans="1:24">
      <c r="A23" s="26" t="s">
        <v>30</v>
      </c>
      <c r="B23" s="40"/>
      <c r="C23" s="47" t="s">
        <v>31</v>
      </c>
    </row>
    <row r="24" customHeight="1" spans="1:24">
      <c r="A24" s="26" t="s">
        <v>32</v>
      </c>
      <c r="B24" s="41">
        <v>3</v>
      </c>
    </row>
    <row r="25" s="23" customFormat="1" ht="24" customHeight="1" spans="1:24">
      <c r="A25" s="48" t="s">
        <v>33</v>
      </c>
      <c r="B25" s="48" t="s">
        <v>34</v>
      </c>
      <c r="C25" s="49" t="s">
        <v>35</v>
      </c>
      <c r="D25" s="49" t="s">
        <v>36</v>
      </c>
      <c r="E25" s="49" t="s">
        <v>37</v>
      </c>
      <c r="F25" s="49" t="s">
        <v>38</v>
      </c>
      <c r="G25" s="49" t="s">
        <v>39</v>
      </c>
      <c r="H25" s="48" t="s">
        <v>40</v>
      </c>
      <c r="I25" s="48" t="s">
        <v>41</v>
      </c>
      <c r="J25" s="48" t="s">
        <v>42</v>
      </c>
      <c r="K25" s="48" t="s">
        <v>43</v>
      </c>
      <c r="L25" s="48" t="s">
        <v>44</v>
      </c>
      <c r="M25" s="48" t="s">
        <v>45</v>
      </c>
      <c r="N25" s="48" t="s">
        <v>46</v>
      </c>
      <c r="O25" s="48" t="s">
        <v>47</v>
      </c>
      <c r="P25" s="48" t="s">
        <v>48</v>
      </c>
      <c r="Q25" s="48" t="s">
        <v>49</v>
      </c>
      <c r="R25" s="49" t="s">
        <v>50</v>
      </c>
      <c r="S25" s="49" t="s">
        <v>51</v>
      </c>
      <c r="T25" s="49" t="s">
        <v>52</v>
      </c>
      <c r="U25" s="49" t="s">
        <v>53</v>
      </c>
      <c r="V25" s="49" t="s">
        <v>54</v>
      </c>
      <c r="W25" s="23" t="s">
        <v>55</v>
      </c>
      <c r="X25" s="23" t="s">
        <v>56</v>
      </c>
    </row>
    <row r="26" s="24" customFormat="1" customHeight="1" spans="1:24">
      <c r="A26" s="50"/>
      <c r="B26" s="51"/>
      <c r="C26" s="52"/>
      <c r="D26" s="52"/>
      <c r="E26" s="52"/>
      <c r="F26" s="52"/>
      <c r="H26" s="52"/>
      <c r="I26" s="52"/>
      <c r="M26" s="52"/>
      <c r="N26" s="52"/>
      <c r="Q26" s="53"/>
      <c r="R26" s="25"/>
      <c r="S26" s="25"/>
      <c r="T26" s="25"/>
      <c r="V26" s="25"/>
    </row>
    <row r="27" s="24" customFormat="1" customHeight="1" spans="1:24">
      <c r="A27" s="50"/>
      <c r="B27" s="51"/>
      <c r="C27" s="52"/>
      <c r="D27" s="52"/>
      <c r="E27" s="52"/>
      <c r="F27" s="52"/>
      <c r="H27" s="52"/>
      <c r="I27" s="52"/>
      <c r="M27" s="52"/>
      <c r="N27" s="52"/>
      <c r="Q27" s="53"/>
      <c r="R27" s="25"/>
      <c r="S27" s="25"/>
      <c r="T27" s="25"/>
      <c r="V27" s="25"/>
    </row>
    <row r="28" s="25" customFormat="1" customHeight="1"/>
    <row r="29" s="25" customFormat="1" customHeight="1"/>
    <row r="30" s="25" customFormat="1" customHeight="1"/>
    <row r="31" s="25" customFormat="1" customHeight="1"/>
    <row r="32" s="25" customFormat="1" customHeight="1"/>
    <row r="33" s="25" customFormat="1" customHeight="1"/>
    <row r="34" s="25" customFormat="1" customHeight="1"/>
    <row r="35" s="25" customFormat="1" customHeight="1"/>
    <row r="36" s="25" customFormat="1" customHeight="1"/>
    <row r="37" s="25" customFormat="1" customHeight="1"/>
    <row r="38" s="25" customFormat="1" customHeight="1"/>
    <row r="39" s="25" customFormat="1" customHeight="1"/>
    <row r="40" s="25" customFormat="1" customHeight="1"/>
    <row r="41" s="25" customFormat="1" customHeight="1"/>
    <row r="42" s="25" customFormat="1" customHeight="1"/>
    <row r="43" s="25" customFormat="1" customHeight="1"/>
    <row r="44" s="25" customFormat="1" customHeight="1"/>
    <row r="45" s="25" customFormat="1" customHeight="1"/>
    <row r="46" s="25" customFormat="1" customHeight="1"/>
    <row r="47" s="25" customFormat="1" customHeight="1"/>
    <row r="48" s="25" customFormat="1" customHeight="1"/>
    <row r="49" s="25" customFormat="1" customHeight="1"/>
    <row r="50" s="25" customFormat="1" customHeight="1"/>
    <row r="51" s="25" customFormat="1" customHeight="1"/>
    <row r="52" s="25" customFormat="1" customHeight="1"/>
    <row r="53" s="25" customFormat="1" customHeight="1"/>
    <row r="54" s="25" customFormat="1" customHeight="1"/>
    <row r="55" s="25" customFormat="1" customHeight="1"/>
    <row r="56" s="25" customFormat="1" customHeight="1"/>
    <row r="57" s="25" customFormat="1" customHeight="1"/>
    <row r="58" s="25" customFormat="1" customHeight="1"/>
    <row r="59" s="25" customFormat="1" customHeight="1"/>
    <row r="60" s="25" customFormat="1" customHeight="1"/>
    <row r="61" s="25" customFormat="1" customHeight="1"/>
    <row r="62" s="25" customFormat="1" customHeight="1"/>
    <row r="63" s="25" customFormat="1" customHeight="1"/>
    <row r="64" s="25" customFormat="1" customHeight="1"/>
    <row r="65" s="25" customFormat="1" customHeight="1"/>
    <row r="66" s="25" customFormat="1" customHeight="1"/>
    <row r="67" s="25" customFormat="1" customHeight="1"/>
    <row r="68" s="25" customFormat="1" customHeight="1"/>
    <row r="69" s="25" customFormat="1" customHeight="1"/>
    <row r="70" s="25" customFormat="1" customHeight="1"/>
    <row r="71" s="25" customFormat="1" customHeight="1"/>
    <row r="72" s="25" customFormat="1" customHeight="1"/>
    <row r="73" s="25" customFormat="1" customHeight="1"/>
    <row r="74" s="25" customFormat="1" customHeight="1"/>
    <row r="75" s="25" customFormat="1" customHeight="1"/>
    <row r="76" s="25" customFormat="1" customHeight="1"/>
    <row r="77" s="25" customFormat="1" customHeight="1"/>
    <row r="78" s="25" customFormat="1" customHeight="1"/>
    <row r="79" s="25" customFormat="1" customHeight="1"/>
    <row r="80" s="25" customFormat="1" customHeight="1"/>
    <row r="81" s="25" customFormat="1" customHeight="1"/>
    <row r="82" s="25" customFormat="1" customHeight="1"/>
    <row r="83" s="25" customFormat="1" customHeight="1"/>
    <row r="84" s="25" customFormat="1" customHeight="1"/>
    <row r="85" s="25" customFormat="1" customHeight="1"/>
    <row r="86" s="25" customFormat="1" customHeight="1"/>
    <row r="87" s="25" customFormat="1" customHeight="1"/>
    <row r="88" s="25" customFormat="1" customHeight="1"/>
    <row r="89" s="25" customFormat="1" customHeight="1"/>
    <row r="90" s="25" customFormat="1" customHeight="1"/>
    <row r="91" s="25" customFormat="1" customHeight="1"/>
    <row r="92" s="25" customFormat="1" customHeight="1"/>
    <row r="93" s="25" customFormat="1" customHeight="1"/>
    <row r="94" s="25" customFormat="1" customHeight="1"/>
    <row r="95" s="25" customFormat="1" customHeight="1"/>
    <row r="96" s="25" customFormat="1" customHeight="1"/>
    <row r="97" s="25" customFormat="1" customHeight="1"/>
    <row r="98" s="25" customFormat="1" customHeight="1"/>
    <row r="99" s="25" customFormat="1" customHeight="1"/>
    <row r="100" s="25" customFormat="1" customHeight="1"/>
    <row r="101" s="25" customFormat="1" customHeight="1"/>
    <row r="102" s="25" customFormat="1" customHeight="1"/>
    <row r="103" s="25" customFormat="1" customHeight="1"/>
    <row r="104" s="25" customFormat="1" customHeight="1"/>
    <row r="105" s="25" customFormat="1" customHeight="1"/>
    <row r="106" s="25" customFormat="1" customHeight="1"/>
    <row r="107" s="25" customFormat="1" customHeight="1"/>
    <row r="108" s="25" customFormat="1" customHeight="1"/>
    <row r="109" s="25" customFormat="1" customHeight="1"/>
    <row r="110" s="25" customFormat="1" customHeight="1"/>
    <row r="111" s="25" customFormat="1" customHeight="1"/>
    <row r="112" s="25" customFormat="1" customHeight="1"/>
    <row r="113" s="25" customFormat="1" customHeight="1"/>
    <row r="114" s="25" customFormat="1" customHeight="1"/>
    <row r="115" s="25" customFormat="1" customHeight="1"/>
    <row r="116" s="25" customFormat="1" customHeight="1"/>
    <row r="117" s="25" customFormat="1" customHeight="1"/>
    <row r="118" s="25" customFormat="1" customHeight="1"/>
    <row r="119" s="25" customFormat="1" customHeight="1"/>
    <row r="120" s="25" customFormat="1" customHeight="1"/>
    <row r="121" s="25" customFormat="1" customHeight="1"/>
    <row r="122" s="25" customFormat="1" customHeight="1"/>
    <row r="123" s="25" customFormat="1" customHeight="1"/>
    <row r="124" s="25" customFormat="1" customHeight="1"/>
    <row r="125" s="25" customFormat="1" customHeight="1"/>
    <row r="126" s="25" customFormat="1" customHeight="1"/>
    <row r="127" s="25" customFormat="1" customHeight="1"/>
    <row r="128" s="25" customFormat="1" customHeight="1"/>
    <row r="129" s="25" customFormat="1" customHeight="1"/>
    <row r="130" s="25" customFormat="1" customHeight="1"/>
    <row r="131" s="25" customFormat="1" customHeight="1"/>
    <row r="132" s="25" customFormat="1" customHeight="1"/>
    <row r="133" s="25" customFormat="1" customHeight="1"/>
    <row r="134" s="25" customFormat="1" customHeight="1"/>
    <row r="135" s="25" customFormat="1" customHeight="1"/>
    <row r="136" s="25" customFormat="1" customHeight="1"/>
    <row r="137" s="25" customFormat="1" customHeight="1"/>
    <row r="138" s="25" customFormat="1" customHeight="1"/>
    <row r="139" s="25" customFormat="1" customHeight="1"/>
    <row r="140" s="25" customFormat="1" customHeight="1"/>
    <row r="141" s="25" customFormat="1" customHeight="1"/>
    <row r="142" s="25" customFormat="1" customHeight="1"/>
    <row r="143" s="25" customFormat="1" customHeight="1"/>
    <row r="144" s="25" customFormat="1" customHeight="1"/>
    <row r="145" s="25" customFormat="1" customHeight="1"/>
    <row r="146" s="25" customFormat="1" customHeight="1"/>
    <row r="147" s="25"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sheetData>
  <mergeCells count="2">
    <mergeCell ref="E1:H15"/>
    <mergeCell ref="I1:K15"/>
  </mergeCells>
  <dataValidations count="7">
    <dataValidation type="list" allowBlank="1" showInputMessage="1" showErrorMessage="1" sqref="B1">
      <formula1>渠道组!$A$2:$A$500</formula1>
    </dataValidation>
    <dataValidation allowBlank="1" showInputMessage="1" showErrorMessage="1" prompt="禁止输入 特殊符号  文字" sqref="B14"/>
    <dataValidation type="list" allowBlank="1" showInputMessage="1" showErrorMessage="1" sqref="B17">
      <formula1>"买单报关,报关退税,合并报关"</formula1>
    </dataValidation>
    <dataValidation type="list" allowBlank="1" showInputMessage="1" showErrorMessage="1" sqref="B18 B22 B15:B16">
      <formula1>"是,否"</formula1>
    </dataValidation>
    <dataValidation type="list" allowBlank="1" showInputMessage="1" showErrorMessage="1" sqref="B20">
      <formula1>"USD,EUR,GBP"</formula1>
    </dataValidation>
    <dataValidation type="list" allowBlank="1" showInputMessage="1" showErrorMessage="1" sqref="B21">
      <formula1>当前站点</formula1>
    </dataValidation>
    <dataValidation type="list" allowBlank="1" showInputMessage="1" showErrorMessage="1" sqref="I1:I2">
      <formula1>"欧洲FBA包税B价-大陆飞,欧洲FBA包税C价-香港飞,英国FBA不包税D价-直飞,英国FBA不包税L价-大陆飞,英国包税快线U价,中欧铁路专线Z价,英国海派FBA不包税E价,英国海卡FBA不包税F价,中英卡车VAT专线,中英卡车包税专线,欧洲VAT递延Q价-大陆飞,欧洲VAT递延R价-香港飞,欧洲海派VAT递延G价,美国普货专线H价,美国带电专线W价,美国海卡包税K价,美森快船A价,盐田快船,加拿大海派FBA包税B价,加拿大海卡FBA包税O价,加拿大海卡FBA包税P价,美国UPS红单,欧洲UPS红单"</formula1>
    </dataValidation>
  </dataValidations>
  <pageMargins left="0.75" right="0.75" top="1" bottom="1" header="0.3" footer="0.3"/>
  <pageSetup paperSize="257" orientation="portrait" horizontalDpi="600" vertic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141"/>
  <sheetViews>
    <sheetView workbookViewId="0">
      <selection activeCell="A28" sqref="A28"/>
    </sheetView>
  </sheetViews>
  <sheetFormatPr defaultColWidth="11.8666666666667" defaultRowHeight="14.25"/>
  <cols>
    <col min="1" max="1" width="32.7142857142857" customWidth="1"/>
    <col min="2" max="2" width="20.1333333333333" customWidth="1"/>
  </cols>
  <sheetData>
    <row r="1" spans="1:1">
      <c r="A1" s="1" t="s">
        <v>57</v>
      </c>
    </row>
    <row r="2" spans="1:1">
      <c r="A2" s="1" t="s">
        <v>58</v>
      </c>
    </row>
    <row r="3" spans="1:1">
      <c r="A3" s="1" t="s">
        <v>59</v>
      </c>
    </row>
    <row r="4" spans="1:1">
      <c r="A4" s="1" t="s">
        <v>60</v>
      </c>
    </row>
    <row r="5" spans="1:1">
      <c r="A5" s="1" t="s">
        <v>61</v>
      </c>
    </row>
    <row r="6" spans="1:1">
      <c r="A6" s="1" t="s">
        <v>62</v>
      </c>
    </row>
    <row r="7" spans="1:1">
      <c r="A7" t="s">
        <v>63</v>
      </c>
    </row>
    <row r="8" ht="13" customHeight="1" spans="1:1">
      <c r="A8" s="1" t="s">
        <v>64</v>
      </c>
    </row>
    <row r="9" ht="13" customHeight="1" spans="1:1">
      <c r="A9" s="1" t="s">
        <v>65</v>
      </c>
    </row>
    <row r="10" ht="13" customHeight="1" spans="1:1">
      <c r="A10" s="1" t="s">
        <v>66</v>
      </c>
    </row>
    <row r="11" ht="13" customHeight="1" spans="1:1">
      <c r="A11" s="1" t="s">
        <v>67</v>
      </c>
    </row>
    <row r="12" ht="13" customHeight="1" spans="1:1">
      <c r="A12" s="1" t="s">
        <v>68</v>
      </c>
    </row>
    <row r="13" ht="13" customHeight="1" spans="1:1">
      <c r="A13" s="1" t="s">
        <v>69</v>
      </c>
    </row>
    <row r="14" spans="1:1">
      <c r="A14" s="1" t="s">
        <v>70</v>
      </c>
    </row>
    <row r="15" spans="1:1">
      <c r="A15" s="1" t="s">
        <v>71</v>
      </c>
    </row>
    <row r="16" spans="1:1">
      <c r="A16" s="1" t="s">
        <v>72</v>
      </c>
    </row>
    <row r="17" spans="1:1">
      <c r="A17" s="1" t="s">
        <v>73</v>
      </c>
    </row>
    <row r="18" spans="1:1">
      <c r="A18" s="1" t="s">
        <v>74</v>
      </c>
    </row>
    <row r="19" spans="1:1">
      <c r="A19" s="1" t="s">
        <v>75</v>
      </c>
    </row>
    <row r="20" ht="13" customHeight="1" spans="1:1">
      <c r="A20" s="1" t="s">
        <v>76</v>
      </c>
    </row>
    <row r="21" ht="13" customHeight="1" spans="1:1">
      <c r="A21" s="1" t="s">
        <v>77</v>
      </c>
    </row>
    <row r="22" spans="1:1">
      <c r="A22" s="1" t="s">
        <v>78</v>
      </c>
    </row>
    <row r="23" spans="1:1">
      <c r="A23" s="1" t="s">
        <v>79</v>
      </c>
    </row>
    <row r="24" spans="1:1">
      <c r="A24" s="1" t="s">
        <v>80</v>
      </c>
    </row>
    <row r="25" spans="1:1">
      <c r="A25" s="1" t="s">
        <v>81</v>
      </c>
    </row>
    <row r="26" spans="1:1">
      <c r="A26" t="s">
        <v>82</v>
      </c>
    </row>
    <row r="27" spans="1:1">
      <c r="A27" t="s">
        <v>83</v>
      </c>
    </row>
    <row r="28" spans="1:1">
      <c r="A28" s="22" t="s">
        <v>84</v>
      </c>
    </row>
    <row r="29" spans="1:1">
      <c r="A29" s="22" t="s">
        <v>85</v>
      </c>
    </row>
    <row r="30" spans="1:1">
      <c r="A30" s="1" t="s">
        <v>86</v>
      </c>
    </row>
    <row r="31" spans="1:1">
      <c r="A31" s="1" t="s">
        <v>87</v>
      </c>
    </row>
    <row r="32" ht="13" customHeight="1" spans="1:1">
      <c r="A32" s="1" t="s">
        <v>88</v>
      </c>
    </row>
    <row r="33" ht="13" customHeight="1" spans="1:1">
      <c r="A33" s="1" t="s">
        <v>89</v>
      </c>
    </row>
    <row r="34" ht="13" customHeight="1" spans="1:1">
      <c r="A34" t="s">
        <v>90</v>
      </c>
    </row>
    <row r="35" spans="1:1">
      <c r="A35" t="s">
        <v>91</v>
      </c>
    </row>
    <row r="36" spans="1:1">
      <c r="A36" s="1" t="s">
        <v>92</v>
      </c>
    </row>
    <row r="37" spans="1:1">
      <c r="A37" s="1" t="s">
        <v>93</v>
      </c>
    </row>
    <row r="38" spans="1:1">
      <c r="A38" s="1" t="s">
        <v>94</v>
      </c>
    </row>
    <row r="39" spans="1:1">
      <c r="A39" s="1" t="s">
        <v>95</v>
      </c>
    </row>
    <row r="40" spans="1:1">
      <c r="A40" s="1" t="s">
        <v>96</v>
      </c>
    </row>
    <row r="41" spans="1:1">
      <c r="A41" t="s">
        <v>97</v>
      </c>
    </row>
    <row r="42" spans="1:1">
      <c r="A42" s="1" t="s">
        <v>98</v>
      </c>
    </row>
    <row r="43" spans="1:1">
      <c r="A43" s="1" t="s">
        <v>99</v>
      </c>
    </row>
    <row r="44" spans="1:1">
      <c r="A44" s="1" t="s">
        <v>100</v>
      </c>
    </row>
    <row r="45" spans="1:1">
      <c r="A45" t="s">
        <v>101</v>
      </c>
    </row>
    <row r="46" spans="1:1">
      <c r="A46" t="s">
        <v>102</v>
      </c>
    </row>
    <row r="47" spans="1:1">
      <c r="A47" t="s">
        <v>103</v>
      </c>
    </row>
    <row r="48" spans="1:1">
      <c r="A48" t="s">
        <v>104</v>
      </c>
    </row>
    <row r="49" spans="1:1">
      <c r="A49" t="s">
        <v>105</v>
      </c>
    </row>
    <row r="50" spans="1:1">
      <c r="A50" t="s">
        <v>106</v>
      </c>
    </row>
    <row r="51" ht="13" customHeight="1" spans="1:1">
      <c r="A51" t="s">
        <v>107</v>
      </c>
    </row>
    <row r="52" ht="13" customHeight="1" spans="1:1">
      <c r="A52" t="s">
        <v>108</v>
      </c>
    </row>
    <row r="53" ht="13" customHeight="1" spans="1:1">
      <c r="A53" t="s">
        <v>109</v>
      </c>
    </row>
    <row r="54" ht="13" customHeight="1" spans="1:1">
      <c r="A54" t="s">
        <v>110</v>
      </c>
    </row>
    <row r="55" spans="1:1">
      <c r="A55" t="s">
        <v>111</v>
      </c>
    </row>
    <row r="56" spans="1:1">
      <c r="A56" t="s">
        <v>112</v>
      </c>
    </row>
    <row r="57" spans="1:1">
      <c r="A57" t="s">
        <v>113</v>
      </c>
    </row>
    <row r="58" spans="1:1">
      <c r="A58" t="s">
        <v>114</v>
      </c>
    </row>
    <row r="59" spans="1:1">
      <c r="A59" t="s">
        <v>115</v>
      </c>
    </row>
    <row r="60" spans="1:1">
      <c r="A60" t="s">
        <v>116</v>
      </c>
    </row>
    <row r="61" spans="1:1">
      <c r="A61" t="s">
        <v>117</v>
      </c>
    </row>
    <row r="62" spans="1:1">
      <c r="A62" t="s">
        <v>118</v>
      </c>
    </row>
    <row r="63" spans="1:1">
      <c r="A63" t="s">
        <v>119</v>
      </c>
    </row>
    <row r="64" spans="1:1">
      <c r="A64" t="s">
        <v>120</v>
      </c>
    </row>
    <row r="65" spans="1:1">
      <c r="A65" s="1" t="s">
        <v>121</v>
      </c>
    </row>
    <row r="66" spans="1:1">
      <c r="A66" s="1" t="s">
        <v>122</v>
      </c>
    </row>
    <row r="67" spans="1:1">
      <c r="A67" s="1" t="s">
        <v>123</v>
      </c>
    </row>
    <row r="68" spans="1:1">
      <c r="A68" s="1" t="s">
        <v>124</v>
      </c>
    </row>
    <row r="69" spans="1:1">
      <c r="A69" s="1" t="s">
        <v>125</v>
      </c>
    </row>
    <row r="70" spans="1:1">
      <c r="A70" s="1" t="s">
        <v>126</v>
      </c>
    </row>
    <row r="71" spans="1:1">
      <c r="A71" s="1" t="s">
        <v>127</v>
      </c>
    </row>
    <row r="72" spans="1:1">
      <c r="A72" s="1" t="s">
        <v>128</v>
      </c>
    </row>
    <row r="73" spans="1:1">
      <c r="A73" s="1" t="s">
        <v>129</v>
      </c>
    </row>
    <row r="74" spans="1:1">
      <c r="A74" s="1" t="s">
        <v>130</v>
      </c>
    </row>
    <row r="75" spans="1:1">
      <c r="A75" s="1" t="s">
        <v>131</v>
      </c>
    </row>
    <row r="76" spans="1:1">
      <c r="A76" s="1" t="s">
        <v>132</v>
      </c>
    </row>
    <row r="77" spans="1:1">
      <c r="A77" s="1" t="s">
        <v>133</v>
      </c>
    </row>
    <row r="78" spans="1:1">
      <c r="A78" s="1" t="s">
        <v>134</v>
      </c>
    </row>
    <row r="79" spans="1:1">
      <c r="A79" s="1" t="s">
        <v>135</v>
      </c>
    </row>
    <row r="80" spans="1:1">
      <c r="A80" s="1" t="s">
        <v>136</v>
      </c>
    </row>
    <row r="81" spans="1:1">
      <c r="A81" s="1" t="s">
        <v>137</v>
      </c>
    </row>
    <row r="82" spans="1:1">
      <c r="A82" s="1" t="s">
        <v>138</v>
      </c>
    </row>
    <row r="83" spans="1:1">
      <c r="A83" s="1" t="s">
        <v>139</v>
      </c>
    </row>
    <row r="84" spans="1:1">
      <c r="A84" s="2" t="s">
        <v>140</v>
      </c>
    </row>
    <row r="85" spans="1:1">
      <c r="A85" s="2" t="s">
        <v>141</v>
      </c>
    </row>
    <row r="86" spans="1:1">
      <c r="A86" s="2" t="s">
        <v>142</v>
      </c>
    </row>
    <row r="87" spans="1:1">
      <c r="A87" s="2" t="s">
        <v>143</v>
      </c>
    </row>
    <row r="88" spans="1:1">
      <c r="A88" s="2" t="s">
        <v>144</v>
      </c>
    </row>
    <row r="89" spans="1:1">
      <c r="A89" s="2" t="s">
        <v>145</v>
      </c>
    </row>
    <row r="90" spans="1:1">
      <c r="A90" s="2" t="s">
        <v>146</v>
      </c>
    </row>
    <row r="91" spans="1:1">
      <c r="A91" s="2" t="s">
        <v>147</v>
      </c>
    </row>
    <row r="92" spans="1:1">
      <c r="A92" s="2" t="s">
        <v>148</v>
      </c>
    </row>
    <row r="93" spans="1:1">
      <c r="A93" s="2" t="s">
        <v>149</v>
      </c>
    </row>
    <row r="94" spans="1:1">
      <c r="A94" s="2" t="s">
        <v>150</v>
      </c>
    </row>
    <row r="95" spans="1:1">
      <c r="A95" s="2" t="s">
        <v>151</v>
      </c>
    </row>
    <row r="96" spans="1:1">
      <c r="A96" s="2" t="s">
        <v>152</v>
      </c>
    </row>
    <row r="97" spans="1:1">
      <c r="A97" s="2" t="s">
        <v>153</v>
      </c>
    </row>
    <row r="98" spans="1:1">
      <c r="A98" s="2" t="s">
        <v>154</v>
      </c>
    </row>
    <row r="99" spans="1:1">
      <c r="A99" s="2" t="s">
        <v>155</v>
      </c>
    </row>
    <row r="100" spans="1:1">
      <c r="A100" s="2" t="s">
        <v>156</v>
      </c>
    </row>
    <row r="101" spans="1:1">
      <c r="A101" s="2" t="s">
        <v>157</v>
      </c>
    </row>
    <row r="102" spans="1:1">
      <c r="A102" s="2" t="s">
        <v>158</v>
      </c>
    </row>
    <row r="103" spans="1:1">
      <c r="A103" s="2" t="s">
        <v>159</v>
      </c>
    </row>
    <row r="104" spans="1:1">
      <c r="A104" s="2" t="s">
        <v>160</v>
      </c>
    </row>
    <row r="105" spans="1:1">
      <c r="A105" s="2" t="s">
        <v>161</v>
      </c>
    </row>
    <row r="106" spans="1:1">
      <c r="A106" s="2" t="s">
        <v>162</v>
      </c>
    </row>
    <row r="107" spans="1:1">
      <c r="A107" s="2" t="s">
        <v>163</v>
      </c>
    </row>
    <row r="108" spans="1:1">
      <c r="A108" s="2" t="s">
        <v>164</v>
      </c>
    </row>
    <row r="109" spans="1:1">
      <c r="A109" s="2" t="s">
        <v>165</v>
      </c>
    </row>
    <row r="110" spans="1:1">
      <c r="A110" s="2" t="s">
        <v>166</v>
      </c>
    </row>
    <row r="111" spans="1:1">
      <c r="A111" s="2" t="s">
        <v>167</v>
      </c>
    </row>
    <row r="112" spans="1:1">
      <c r="A112" s="2" t="s">
        <v>168</v>
      </c>
    </row>
    <row r="113" spans="1:1">
      <c r="A113" s="2" t="s">
        <v>169</v>
      </c>
    </row>
    <row r="114" spans="1:1">
      <c r="A114" s="2" t="s">
        <v>170</v>
      </c>
    </row>
    <row r="115" spans="1:1">
      <c r="A115" s="2" t="s">
        <v>171</v>
      </c>
    </row>
    <row r="116" spans="1:1">
      <c r="A116" s="2" t="s">
        <v>172</v>
      </c>
    </row>
    <row r="117" spans="1:1">
      <c r="A117" s="2" t="s">
        <v>173</v>
      </c>
    </row>
    <row r="118" spans="1:1">
      <c r="A118" s="2" t="s">
        <v>174</v>
      </c>
    </row>
    <row r="119" spans="1:1">
      <c r="A119" s="2" t="s">
        <v>175</v>
      </c>
    </row>
    <row r="120" spans="1:1">
      <c r="A120" s="2" t="s">
        <v>176</v>
      </c>
    </row>
    <row r="121" spans="1:1">
      <c r="A121" s="2" t="s">
        <v>177</v>
      </c>
    </row>
    <row r="122" spans="1:1">
      <c r="A122" s="2" t="s">
        <v>178</v>
      </c>
    </row>
    <row r="123" spans="1:1">
      <c r="A123" s="1" t="s">
        <v>179</v>
      </c>
    </row>
    <row r="124" spans="1:1">
      <c r="A124" s="1" t="s">
        <v>180</v>
      </c>
    </row>
    <row r="125" spans="1:1">
      <c r="A125" t="s">
        <v>181</v>
      </c>
    </row>
    <row r="126" spans="1:1">
      <c r="A126" s="1" t="s">
        <v>182</v>
      </c>
    </row>
    <row r="127" spans="1:1">
      <c r="A127" s="1" t="s">
        <v>183</v>
      </c>
    </row>
    <row r="128" spans="1:1">
      <c r="A128" s="1" t="s">
        <v>184</v>
      </c>
    </row>
    <row r="129" spans="1:1">
      <c r="A129" s="1" t="s">
        <v>185</v>
      </c>
    </row>
    <row r="130" spans="1:1">
      <c r="A130" s="1" t="s">
        <v>186</v>
      </c>
    </row>
    <row r="131" spans="1:1">
      <c r="A131" s="1" t="s">
        <v>187</v>
      </c>
    </row>
    <row r="132" spans="1:1">
      <c r="A132" s="1" t="s">
        <v>188</v>
      </c>
    </row>
    <row r="133" spans="1:1">
      <c r="A133" s="1" t="s">
        <v>189</v>
      </c>
    </row>
    <row r="134" spans="1:1">
      <c r="A134" s="1" t="s">
        <v>190</v>
      </c>
    </row>
    <row r="135" spans="1:1">
      <c r="A135" s="1" t="s">
        <v>191</v>
      </c>
    </row>
    <row r="136" spans="1:1">
      <c r="A136" s="1" t="s">
        <v>192</v>
      </c>
    </row>
    <row r="137" spans="1:1">
      <c r="A137" s="1" t="s">
        <v>193</v>
      </c>
    </row>
    <row r="138" spans="1:1">
      <c r="A138" s="1" t="s">
        <v>194</v>
      </c>
    </row>
    <row r="139" spans="1:1">
      <c r="A139" s="1" t="s">
        <v>195</v>
      </c>
    </row>
    <row r="140" spans="1:1">
      <c r="A140" s="1" t="s">
        <v>196</v>
      </c>
    </row>
    <row r="141" spans="1:1">
      <c r="A141" s="1" t="s">
        <v>197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O427"/>
  <sheetViews>
    <sheetView workbookViewId="0">
      <selection activeCell="F27" sqref="F27"/>
    </sheetView>
  </sheetViews>
  <sheetFormatPr defaultColWidth="11.8666666666667" defaultRowHeight="14.25" customHeight="1"/>
  <cols>
    <col min="1" max="1" width="16.4285714285714" style="3" customWidth="1"/>
    <col min="2" max="6" width="14" style="3"/>
    <col min="7" max="7" width="15" style="3" customWidth="1"/>
    <col min="8" max="8" width="36.2857142857143" style="3" customWidth="1"/>
    <col min="9" max="10" width="6.57142857142857" style="3" customWidth="1"/>
    <col min="11" max="11" width="20.7142857142857" style="3" customWidth="1"/>
    <col min="12" max="12" width="23.7142857142857" style="3" customWidth="1"/>
    <col min="13" max="14" width="14" style="3"/>
    <col min="15" max="15" width="14" style="7"/>
    <col min="16" max="16384" width="14" style="3"/>
  </cols>
  <sheetData>
    <row r="1" s="3" customFormat="1" customHeight="1" spans="1:15">
      <c r="A1" s="3" t="s">
        <v>198</v>
      </c>
      <c r="B1" s="3" t="s">
        <v>199</v>
      </c>
      <c r="C1" s="3" t="s">
        <v>200</v>
      </c>
      <c r="D1" s="3" t="s">
        <v>201</v>
      </c>
      <c r="E1" s="3" t="s">
        <v>202</v>
      </c>
      <c r="F1" s="3" t="s">
        <v>203</v>
      </c>
      <c r="G1" s="3" t="s">
        <v>204</v>
      </c>
      <c r="H1" s="3" t="s">
        <v>205</v>
      </c>
      <c r="I1" s="3" t="s">
        <v>206</v>
      </c>
      <c r="J1" s="3" t="s">
        <v>207</v>
      </c>
      <c r="K1" s="3" t="s">
        <v>208</v>
      </c>
      <c r="L1" s="3" t="s">
        <v>209</v>
      </c>
      <c r="M1" s="3" t="s">
        <v>210</v>
      </c>
      <c r="N1" s="3" t="s">
        <v>211</v>
      </c>
      <c r="O1" s="7"/>
    </row>
    <row r="2" s="3" customFormat="1" customHeight="1" spans="1:15">
      <c r="A2" s="3" t="s">
        <v>212</v>
      </c>
      <c r="B2" s="3" t="s">
        <v>212</v>
      </c>
      <c r="C2" s="3" t="s">
        <v>212</v>
      </c>
      <c r="D2" s="3" t="s">
        <v>212</v>
      </c>
      <c r="E2" s="3" t="s">
        <v>213</v>
      </c>
      <c r="F2" s="5" t="s">
        <v>214</v>
      </c>
      <c r="H2" s="3" t="s">
        <v>215</v>
      </c>
      <c r="K2" s="3" t="s">
        <v>216</v>
      </c>
      <c r="L2" s="3" t="s">
        <v>217</v>
      </c>
      <c r="M2" s="3" t="s">
        <v>218</v>
      </c>
      <c r="N2" s="3">
        <v>91708</v>
      </c>
      <c r="O2" s="7"/>
    </row>
    <row r="3" s="3" customFormat="1" customHeight="1" spans="1:15">
      <c r="A3" s="3" t="s">
        <v>219</v>
      </c>
      <c r="B3" s="3" t="s">
        <v>219</v>
      </c>
      <c r="C3" s="3" t="s">
        <v>219</v>
      </c>
      <c r="D3" s="3" t="s">
        <v>219</v>
      </c>
      <c r="E3" s="3" t="s">
        <v>213</v>
      </c>
      <c r="F3" s="5" t="s">
        <v>214</v>
      </c>
      <c r="H3" s="3" t="s">
        <v>220</v>
      </c>
      <c r="K3" s="3" t="s">
        <v>216</v>
      </c>
      <c r="L3" s="3" t="s">
        <v>217</v>
      </c>
      <c r="M3" s="3" t="s">
        <v>218</v>
      </c>
      <c r="N3" s="3">
        <v>91708</v>
      </c>
      <c r="O3" s="7"/>
    </row>
    <row r="4" s="3" customFormat="1" customHeight="1" spans="1:15">
      <c r="A4" s="3" t="s">
        <v>221</v>
      </c>
      <c r="B4" s="3" t="s">
        <v>221</v>
      </c>
      <c r="C4" s="3" t="s">
        <v>221</v>
      </c>
      <c r="D4" s="3" t="s">
        <v>221</v>
      </c>
      <c r="E4" s="3" t="s">
        <v>213</v>
      </c>
      <c r="F4" s="5" t="s">
        <v>214</v>
      </c>
      <c r="H4" s="3" t="s">
        <v>222</v>
      </c>
      <c r="K4" s="3" t="s">
        <v>223</v>
      </c>
      <c r="L4" s="3" t="s">
        <v>224</v>
      </c>
      <c r="M4" s="3" t="s">
        <v>218</v>
      </c>
      <c r="N4" s="3">
        <v>85340</v>
      </c>
      <c r="O4" s="7"/>
    </row>
    <row r="5" s="3" customFormat="1" customHeight="1" spans="1:15">
      <c r="A5" s="3" t="s">
        <v>225</v>
      </c>
      <c r="B5" s="3" t="s">
        <v>225</v>
      </c>
      <c r="C5" s="3" t="s">
        <v>225</v>
      </c>
      <c r="D5" s="3" t="s">
        <v>225</v>
      </c>
      <c r="E5" s="3" t="s">
        <v>213</v>
      </c>
      <c r="F5" s="5" t="s">
        <v>214</v>
      </c>
      <c r="H5" s="3" t="s">
        <v>226</v>
      </c>
      <c r="K5" s="3" t="s">
        <v>227</v>
      </c>
      <c r="L5" s="3" t="s">
        <v>228</v>
      </c>
      <c r="M5" s="3" t="s">
        <v>218</v>
      </c>
      <c r="N5" s="3">
        <v>76177</v>
      </c>
      <c r="O5" s="7"/>
    </row>
    <row r="6" s="3" customFormat="1" customHeight="1" spans="1:15">
      <c r="A6" s="3" t="s">
        <v>229</v>
      </c>
      <c r="B6" s="3" t="s">
        <v>229</v>
      </c>
      <c r="C6" s="3" t="s">
        <v>229</v>
      </c>
      <c r="D6" s="3" t="s">
        <v>229</v>
      </c>
      <c r="E6" s="3" t="s">
        <v>213</v>
      </c>
      <c r="F6" s="5" t="s">
        <v>214</v>
      </c>
      <c r="H6" s="3" t="s">
        <v>230</v>
      </c>
      <c r="K6" s="3" t="s">
        <v>231</v>
      </c>
      <c r="L6" s="3" t="s">
        <v>228</v>
      </c>
      <c r="M6" s="3" t="s">
        <v>218</v>
      </c>
      <c r="N6" s="3">
        <v>75146</v>
      </c>
      <c r="O6" s="7"/>
    </row>
    <row r="7" s="3" customFormat="1" customHeight="1" spans="1:15">
      <c r="A7" s="3" t="s">
        <v>232</v>
      </c>
      <c r="B7" s="3" t="s">
        <v>232</v>
      </c>
      <c r="C7" s="3" t="s">
        <v>232</v>
      </c>
      <c r="D7" s="3" t="s">
        <v>232</v>
      </c>
      <c r="E7" s="3" t="s">
        <v>213</v>
      </c>
      <c r="F7" s="5" t="s">
        <v>214</v>
      </c>
      <c r="H7" s="3" t="s">
        <v>233</v>
      </c>
      <c r="K7" s="3" t="s">
        <v>234</v>
      </c>
      <c r="L7" s="3" t="s">
        <v>235</v>
      </c>
      <c r="M7" s="3" t="s">
        <v>218</v>
      </c>
      <c r="N7" s="3">
        <v>66021</v>
      </c>
      <c r="O7" s="7"/>
    </row>
    <row r="8" s="3" customFormat="1" customHeight="1" spans="1:15">
      <c r="A8" s="3" t="s">
        <v>236</v>
      </c>
      <c r="B8" s="3" t="s">
        <v>236</v>
      </c>
      <c r="C8" s="3" t="s">
        <v>236</v>
      </c>
      <c r="D8" s="3" t="s">
        <v>236</v>
      </c>
      <c r="E8" s="3" t="s">
        <v>213</v>
      </c>
      <c r="F8" s="5" t="s">
        <v>214</v>
      </c>
      <c r="H8" s="3" t="s">
        <v>237</v>
      </c>
      <c r="K8" s="3" t="s">
        <v>238</v>
      </c>
      <c r="L8" s="3" t="s">
        <v>239</v>
      </c>
      <c r="M8" s="3" t="s">
        <v>218</v>
      </c>
      <c r="N8" s="3">
        <v>40165</v>
      </c>
      <c r="O8" s="7"/>
    </row>
    <row r="9" s="3" customFormat="1" customHeight="1" spans="1:15">
      <c r="A9" s="4" t="s">
        <v>240</v>
      </c>
      <c r="B9" s="4" t="s">
        <v>240</v>
      </c>
      <c r="C9" s="4" t="s">
        <v>240</v>
      </c>
      <c r="D9" s="4" t="s">
        <v>240</v>
      </c>
      <c r="E9" s="4" t="s">
        <v>213</v>
      </c>
      <c r="F9" s="8" t="s">
        <v>214</v>
      </c>
      <c r="G9" s="4"/>
      <c r="H9" s="4" t="s">
        <v>241</v>
      </c>
      <c r="I9" s="4"/>
      <c r="J9" s="4"/>
      <c r="K9" s="4" t="s">
        <v>242</v>
      </c>
      <c r="L9" s="4" t="s">
        <v>235</v>
      </c>
      <c r="M9" s="4" t="s">
        <v>218</v>
      </c>
      <c r="N9" s="4">
        <v>66619</v>
      </c>
      <c r="O9" s="7"/>
    </row>
    <row r="10" s="3" customFormat="1" customHeight="1" spans="1:15">
      <c r="A10" s="4" t="s">
        <v>243</v>
      </c>
      <c r="B10" s="4" t="s">
        <v>243</v>
      </c>
      <c r="C10" s="4" t="s">
        <v>243</v>
      </c>
      <c r="D10" s="4" t="s">
        <v>243</v>
      </c>
      <c r="E10" s="4" t="s">
        <v>213</v>
      </c>
      <c r="F10" s="8" t="s">
        <v>214</v>
      </c>
      <c r="G10" s="4"/>
      <c r="H10" s="4" t="s">
        <v>244</v>
      </c>
      <c r="I10" s="4"/>
      <c r="J10" s="4"/>
      <c r="K10" s="4" t="s">
        <v>245</v>
      </c>
      <c r="L10" s="4" t="s">
        <v>217</v>
      </c>
      <c r="M10" s="4" t="s">
        <v>218</v>
      </c>
      <c r="N10" s="4">
        <v>95837</v>
      </c>
      <c r="O10" s="7"/>
    </row>
    <row r="11" s="3" customFormat="1" customHeight="1" spans="1:15">
      <c r="A11" s="4" t="s">
        <v>246</v>
      </c>
      <c r="B11" s="4" t="s">
        <v>246</v>
      </c>
      <c r="C11" s="4" t="s">
        <v>246</v>
      </c>
      <c r="D11" s="4" t="s">
        <v>246</v>
      </c>
      <c r="E11" s="4" t="s">
        <v>213</v>
      </c>
      <c r="F11" s="8" t="s">
        <v>214</v>
      </c>
      <c r="G11" s="4"/>
      <c r="H11" s="4" t="s">
        <v>247</v>
      </c>
      <c r="I11" s="4"/>
      <c r="J11" s="4"/>
      <c r="K11" s="4" t="s">
        <v>248</v>
      </c>
      <c r="L11" s="4" t="s">
        <v>249</v>
      </c>
      <c r="M11" s="4" t="s">
        <v>218</v>
      </c>
      <c r="N11" s="4">
        <v>33897</v>
      </c>
      <c r="O11" s="7"/>
    </row>
    <row r="12" s="3" customFormat="1" customHeight="1" spans="1:15">
      <c r="A12" s="4" t="s">
        <v>250</v>
      </c>
      <c r="B12" s="4" t="s">
        <v>250</v>
      </c>
      <c r="C12" s="4" t="s">
        <v>250</v>
      </c>
      <c r="D12" s="4" t="s">
        <v>250</v>
      </c>
      <c r="E12" s="4" t="s">
        <v>213</v>
      </c>
      <c r="F12" s="8" t="s">
        <v>214</v>
      </c>
      <c r="G12" s="4"/>
      <c r="H12" s="4" t="s">
        <v>251</v>
      </c>
      <c r="I12" s="4"/>
      <c r="J12" s="4"/>
      <c r="K12" s="4" t="s">
        <v>252</v>
      </c>
      <c r="L12" s="4" t="s">
        <v>253</v>
      </c>
      <c r="M12" s="4" t="s">
        <v>218</v>
      </c>
      <c r="N12" s="4">
        <v>38654</v>
      </c>
      <c r="O12" s="7"/>
    </row>
    <row r="13" s="3" customFormat="1" customHeight="1" spans="1:15">
      <c r="A13" s="4" t="s">
        <v>254</v>
      </c>
      <c r="B13" s="4" t="s">
        <v>254</v>
      </c>
      <c r="C13" s="4" t="s">
        <v>254</v>
      </c>
      <c r="D13" s="4" t="s">
        <v>254</v>
      </c>
      <c r="E13" s="4" t="s">
        <v>213</v>
      </c>
      <c r="F13" s="8" t="s">
        <v>214</v>
      </c>
      <c r="G13" s="4"/>
      <c r="H13" s="4" t="s">
        <v>255</v>
      </c>
      <c r="I13" s="4"/>
      <c r="J13" s="4"/>
      <c r="K13" s="4" t="s">
        <v>256</v>
      </c>
      <c r="L13" s="4" t="s">
        <v>257</v>
      </c>
      <c r="M13" s="4" t="s">
        <v>218</v>
      </c>
      <c r="N13" s="4">
        <v>46168</v>
      </c>
      <c r="O13" s="7"/>
    </row>
    <row r="14" s="3" customFormat="1" customHeight="1" spans="1:15">
      <c r="A14" s="4" t="s">
        <v>258</v>
      </c>
      <c r="B14" s="4" t="s">
        <v>258</v>
      </c>
      <c r="C14" s="4" t="s">
        <v>258</v>
      </c>
      <c r="D14" s="4" t="s">
        <v>258</v>
      </c>
      <c r="E14" s="4" t="s">
        <v>213</v>
      </c>
      <c r="F14" s="8" t="s">
        <v>214</v>
      </c>
      <c r="G14" s="4"/>
      <c r="H14" s="4" t="s">
        <v>259</v>
      </c>
      <c r="I14" s="4"/>
      <c r="J14" s="4"/>
      <c r="K14" s="4" t="s">
        <v>260</v>
      </c>
      <c r="L14" s="4" t="s">
        <v>257</v>
      </c>
      <c r="M14" s="4" t="s">
        <v>218</v>
      </c>
      <c r="N14" s="4">
        <v>46055</v>
      </c>
      <c r="O14" s="7"/>
    </row>
    <row r="15" s="3" customFormat="1" customHeight="1" spans="1:15">
      <c r="A15" s="4" t="s">
        <v>261</v>
      </c>
      <c r="B15" s="4" t="s">
        <v>261</v>
      </c>
      <c r="C15" s="4" t="s">
        <v>261</v>
      </c>
      <c r="D15" s="4" t="s">
        <v>261</v>
      </c>
      <c r="E15" s="4" t="s">
        <v>213</v>
      </c>
      <c r="F15" s="8" t="s">
        <v>214</v>
      </c>
      <c r="G15" s="4"/>
      <c r="H15" s="4" t="s">
        <v>262</v>
      </c>
      <c r="I15" s="4"/>
      <c r="J15" s="4"/>
      <c r="K15" s="4" t="s">
        <v>263</v>
      </c>
      <c r="L15" s="4" t="s">
        <v>264</v>
      </c>
      <c r="M15" s="4" t="s">
        <v>218</v>
      </c>
      <c r="N15" s="4">
        <v>45050</v>
      </c>
      <c r="O15" s="7"/>
    </row>
    <row r="16" s="4" customFormat="1" customHeight="1" spans="1:15">
      <c r="A16" s="4" t="s">
        <v>265</v>
      </c>
      <c r="B16" s="4" t="s">
        <v>265</v>
      </c>
      <c r="C16" s="4" t="s">
        <v>265</v>
      </c>
      <c r="D16" s="4" t="s">
        <v>265</v>
      </c>
      <c r="E16" s="4" t="s">
        <v>213</v>
      </c>
      <c r="F16" s="8" t="s">
        <v>214</v>
      </c>
      <c r="H16" s="4" t="s">
        <v>266</v>
      </c>
      <c r="K16" s="4" t="s">
        <v>267</v>
      </c>
      <c r="L16" s="4" t="s">
        <v>268</v>
      </c>
      <c r="M16" s="4" t="s">
        <v>218</v>
      </c>
      <c r="N16" s="4">
        <v>30117</v>
      </c>
      <c r="O16" s="9"/>
    </row>
    <row r="17" s="3" customFormat="1" customHeight="1" spans="1:15">
      <c r="A17" s="3" t="s">
        <v>269</v>
      </c>
      <c r="B17" s="3" t="s">
        <v>269</v>
      </c>
      <c r="C17" s="3" t="s">
        <v>269</v>
      </c>
      <c r="D17" s="3" t="s">
        <v>269</v>
      </c>
      <c r="E17" s="3" t="s">
        <v>213</v>
      </c>
      <c r="F17" s="5" t="s">
        <v>214</v>
      </c>
      <c r="H17" s="3" t="s">
        <v>270</v>
      </c>
      <c r="K17" s="3" t="s">
        <v>271</v>
      </c>
      <c r="L17" s="3" t="s">
        <v>268</v>
      </c>
      <c r="M17" s="3" t="s">
        <v>218</v>
      </c>
      <c r="N17" s="3">
        <v>30349</v>
      </c>
      <c r="O17" s="7"/>
    </row>
    <row r="18" s="3" customFormat="1" customHeight="1" spans="1:15">
      <c r="A18" s="3" t="s">
        <v>272</v>
      </c>
      <c r="B18" s="3" t="s">
        <v>272</v>
      </c>
      <c r="C18" s="3" t="s">
        <v>272</v>
      </c>
      <c r="D18" s="3" t="s">
        <v>272</v>
      </c>
      <c r="E18" s="3" t="s">
        <v>213</v>
      </c>
      <c r="F18" s="5" t="s">
        <v>214</v>
      </c>
      <c r="H18" s="3" t="s">
        <v>273</v>
      </c>
      <c r="K18" s="3" t="s">
        <v>274</v>
      </c>
      <c r="L18" s="3" t="s">
        <v>268</v>
      </c>
      <c r="M18" s="3" t="s">
        <v>218</v>
      </c>
      <c r="N18" s="3">
        <v>30567</v>
      </c>
      <c r="O18" s="7"/>
    </row>
    <row r="19" s="3" customFormat="1" customHeight="1" spans="1:15">
      <c r="A19" s="3" t="s">
        <v>275</v>
      </c>
      <c r="B19" s="3" t="s">
        <v>275</v>
      </c>
      <c r="C19" s="3" t="s">
        <v>275</v>
      </c>
      <c r="D19" s="3" t="s">
        <v>275</v>
      </c>
      <c r="E19" s="3" t="s">
        <v>213</v>
      </c>
      <c r="F19" s="5" t="s">
        <v>214</v>
      </c>
      <c r="H19" s="3" t="s">
        <v>276</v>
      </c>
      <c r="K19" s="3" t="s">
        <v>277</v>
      </c>
      <c r="L19" s="3" t="s">
        <v>278</v>
      </c>
      <c r="M19" s="3" t="s">
        <v>218</v>
      </c>
      <c r="N19" s="3">
        <v>60436</v>
      </c>
      <c r="O19" s="7"/>
    </row>
    <row r="20" s="3" customFormat="1" customHeight="1" spans="1:15">
      <c r="A20" s="3" t="s">
        <v>279</v>
      </c>
      <c r="B20" s="3" t="s">
        <v>279</v>
      </c>
      <c r="C20" s="3" t="s">
        <v>279</v>
      </c>
      <c r="D20" s="3" t="s">
        <v>279</v>
      </c>
      <c r="E20" s="3" t="s">
        <v>213</v>
      </c>
      <c r="F20" s="5" t="s">
        <v>214</v>
      </c>
      <c r="H20" s="3" t="s">
        <v>280</v>
      </c>
      <c r="K20" s="3" t="s">
        <v>281</v>
      </c>
      <c r="L20" s="3" t="s">
        <v>282</v>
      </c>
      <c r="M20" s="3" t="s">
        <v>218</v>
      </c>
      <c r="N20" s="10" t="s">
        <v>283</v>
      </c>
      <c r="O20" s="7"/>
    </row>
    <row r="21" s="3" customFormat="1" customHeight="1" spans="1:15">
      <c r="A21" s="3" t="s">
        <v>284</v>
      </c>
      <c r="B21" s="3" t="s">
        <v>284</v>
      </c>
      <c r="C21" s="3" t="s">
        <v>284</v>
      </c>
      <c r="D21" s="3" t="s">
        <v>284</v>
      </c>
      <c r="E21" s="3" t="s">
        <v>213</v>
      </c>
      <c r="F21" s="5" t="s">
        <v>214</v>
      </c>
      <c r="H21" s="3" t="s">
        <v>285</v>
      </c>
      <c r="K21" s="3" t="s">
        <v>286</v>
      </c>
      <c r="L21" s="3" t="s">
        <v>287</v>
      </c>
      <c r="M21" s="3" t="s">
        <v>218</v>
      </c>
      <c r="N21" s="3">
        <v>17257</v>
      </c>
      <c r="O21" s="7"/>
    </row>
    <row r="22" s="3" customFormat="1" customHeight="1" spans="1:15">
      <c r="A22" s="3" t="s">
        <v>288</v>
      </c>
      <c r="B22" s="3" t="s">
        <v>288</v>
      </c>
      <c r="C22" s="3" t="s">
        <v>288</v>
      </c>
      <c r="D22" s="3" t="s">
        <v>288</v>
      </c>
      <c r="E22" s="3" t="s">
        <v>213</v>
      </c>
      <c r="F22" s="5" t="s">
        <v>214</v>
      </c>
      <c r="H22" s="3" t="s">
        <v>289</v>
      </c>
      <c r="K22" s="3" t="s">
        <v>256</v>
      </c>
      <c r="L22" s="3" t="s">
        <v>257</v>
      </c>
      <c r="M22" s="3" t="s">
        <v>218</v>
      </c>
      <c r="N22" s="3">
        <v>46168</v>
      </c>
      <c r="O22" s="7"/>
    </row>
    <row r="23" s="3" customFormat="1" customHeight="1" spans="1:15">
      <c r="A23" s="11" t="s">
        <v>290</v>
      </c>
      <c r="B23" s="11" t="s">
        <v>290</v>
      </c>
      <c r="C23" s="11" t="s">
        <v>290</v>
      </c>
      <c r="D23" s="11" t="s">
        <v>290</v>
      </c>
      <c r="E23" s="3" t="s">
        <v>213</v>
      </c>
      <c r="F23" s="54" t="s">
        <v>291</v>
      </c>
      <c r="H23" s="11" t="s">
        <v>292</v>
      </c>
      <c r="K23" s="11" t="s">
        <v>293</v>
      </c>
      <c r="L23" s="11" t="s">
        <v>287</v>
      </c>
      <c r="M23" s="3" t="s">
        <v>218</v>
      </c>
      <c r="N23" s="11">
        <v>17225</v>
      </c>
      <c r="O23" s="7"/>
    </row>
    <row r="24" s="3" customFormat="1" customHeight="1" spans="1:15">
      <c r="A24" s="12" t="s">
        <v>294</v>
      </c>
      <c r="B24" s="12" t="s">
        <v>294</v>
      </c>
      <c r="C24" s="12" t="s">
        <v>294</v>
      </c>
      <c r="D24" s="12" t="s">
        <v>294</v>
      </c>
      <c r="E24" s="3" t="s">
        <v>213</v>
      </c>
      <c r="F24" s="54" t="s">
        <v>214</v>
      </c>
      <c r="H24" s="3" t="s">
        <v>262</v>
      </c>
      <c r="K24" s="3" t="s">
        <v>263</v>
      </c>
      <c r="L24" s="3" t="s">
        <v>264</v>
      </c>
      <c r="M24" s="3" t="s">
        <v>218</v>
      </c>
      <c r="N24" s="3">
        <v>45050</v>
      </c>
      <c r="O24" s="7"/>
    </row>
    <row r="25" s="3" customFormat="1" customHeight="1" spans="1:15">
      <c r="A25" s="3" t="s">
        <v>295</v>
      </c>
      <c r="B25" s="3" t="s">
        <v>295</v>
      </c>
      <c r="C25" s="3" t="s">
        <v>295</v>
      </c>
      <c r="D25" s="3" t="s">
        <v>295</v>
      </c>
      <c r="E25" s="3" t="s">
        <v>213</v>
      </c>
      <c r="F25" s="54" t="s">
        <v>214</v>
      </c>
      <c r="H25" s="3" t="s">
        <v>296</v>
      </c>
      <c r="K25" s="3" t="s">
        <v>297</v>
      </c>
      <c r="L25" s="3" t="s">
        <v>228</v>
      </c>
      <c r="M25" s="3" t="s">
        <v>218</v>
      </c>
      <c r="N25" s="3">
        <v>76052</v>
      </c>
      <c r="O25" s="7"/>
    </row>
    <row r="26" s="3" customFormat="1" customHeight="1" spans="1:15">
      <c r="A26" s="3" t="s">
        <v>298</v>
      </c>
      <c r="B26" s="3" t="s">
        <v>298</v>
      </c>
      <c r="C26" s="3" t="s">
        <v>298</v>
      </c>
      <c r="D26" s="3" t="s">
        <v>298</v>
      </c>
      <c r="E26" s="3" t="s">
        <v>213</v>
      </c>
      <c r="F26" s="54" t="s">
        <v>214</v>
      </c>
      <c r="H26" s="3" t="s">
        <v>220</v>
      </c>
      <c r="K26" s="3" t="s">
        <v>216</v>
      </c>
      <c r="L26" s="3" t="s">
        <v>217</v>
      </c>
      <c r="M26" s="3" t="s">
        <v>218</v>
      </c>
      <c r="N26" s="3">
        <v>91708</v>
      </c>
      <c r="O26" s="7"/>
    </row>
    <row r="27" s="3" customFormat="1" customHeight="1" spans="1:15">
      <c r="F27" s="5"/>
      <c r="O27" s="7"/>
    </row>
    <row r="28" s="3" customFormat="1" customHeight="1" spans="1:15">
      <c r="A28" s="5"/>
      <c r="B28" s="5"/>
      <c r="C28" s="5"/>
      <c r="D28" s="5"/>
      <c r="E28" s="5"/>
      <c r="F28" s="5"/>
      <c r="G28" s="5"/>
      <c r="H28" s="5"/>
      <c r="I28" s="5"/>
      <c r="J28" s="5"/>
      <c r="K28" s="5"/>
      <c r="L28" s="5"/>
      <c r="M28" s="5"/>
      <c r="N28" s="5"/>
    </row>
    <row r="29" s="3" customFormat="1" customHeight="1" spans="1:15">
      <c r="A29" s="5"/>
      <c r="B29" s="5"/>
      <c r="C29" s="5"/>
      <c r="D29" s="5"/>
      <c r="E29" s="5"/>
      <c r="F29" s="5"/>
      <c r="G29" s="5"/>
      <c r="H29" s="5"/>
      <c r="I29" s="5"/>
      <c r="J29" s="5"/>
      <c r="K29" s="5"/>
      <c r="L29" s="5"/>
      <c r="M29" s="5"/>
      <c r="N29" s="5"/>
    </row>
    <row r="30" s="3" customFormat="1" customHeight="1" spans="1:15">
      <c r="A30" s="5"/>
      <c r="B30" s="5"/>
      <c r="C30" s="5"/>
      <c r="D30" s="5"/>
      <c r="E30" s="5"/>
      <c r="F30" s="5"/>
      <c r="G30" s="5"/>
      <c r="H30" s="5"/>
      <c r="I30" s="5"/>
      <c r="J30" s="5"/>
      <c r="K30" s="5"/>
      <c r="L30" s="5"/>
      <c r="M30" s="5"/>
      <c r="N30" s="5"/>
    </row>
    <row r="31" s="3" customFormat="1" customHeight="1" spans="1:15">
      <c r="A31" s="5"/>
      <c r="B31" s="5"/>
      <c r="C31" s="5"/>
      <c r="D31" s="5"/>
      <c r="E31" s="5"/>
      <c r="F31" s="5"/>
      <c r="G31" s="5"/>
      <c r="H31" s="5"/>
      <c r="I31" s="5"/>
      <c r="J31" s="5"/>
      <c r="K31" s="5"/>
      <c r="L31" s="5"/>
      <c r="M31" s="5"/>
      <c r="N31" s="5"/>
    </row>
    <row r="32" s="3" customFormat="1" customHeight="1" spans="1:15">
      <c r="A32" s="5" t="s">
        <v>299</v>
      </c>
      <c r="B32" s="5" t="s">
        <v>299</v>
      </c>
      <c r="C32" s="5" t="s">
        <v>299</v>
      </c>
      <c r="D32" s="5" t="s">
        <v>299</v>
      </c>
      <c r="E32" s="5" t="s">
        <v>300</v>
      </c>
      <c r="F32" s="5" t="s">
        <v>214</v>
      </c>
      <c r="G32" s="5"/>
      <c r="H32" s="5" t="s">
        <v>301</v>
      </c>
      <c r="I32" s="5"/>
      <c r="J32" s="5"/>
      <c r="K32" s="5" t="s">
        <v>302</v>
      </c>
      <c r="L32" s="5" t="s">
        <v>228</v>
      </c>
      <c r="M32" s="5" t="s">
        <v>218</v>
      </c>
      <c r="N32" s="5" t="s">
        <v>303</v>
      </c>
    </row>
    <row r="33" s="3" customFormat="1" customHeight="1" spans="1:15">
      <c r="A33" s="3" t="s">
        <v>304</v>
      </c>
      <c r="B33" s="3" t="s">
        <v>304</v>
      </c>
      <c r="C33" s="3" t="s">
        <v>304</v>
      </c>
      <c r="D33" s="3" t="s">
        <v>304</v>
      </c>
      <c r="E33" s="5" t="s">
        <v>300</v>
      </c>
      <c r="F33" s="5" t="s">
        <v>214</v>
      </c>
      <c r="H33" s="3" t="s">
        <v>305</v>
      </c>
      <c r="K33" s="3" t="s">
        <v>306</v>
      </c>
      <c r="L33" s="3" t="s">
        <v>307</v>
      </c>
      <c r="M33" s="3" t="s">
        <v>218</v>
      </c>
      <c r="N33" s="3">
        <v>23234</v>
      </c>
      <c r="O33" s="7"/>
    </row>
    <row r="34" s="3" customFormat="1" customHeight="1" spans="1:15">
      <c r="A34" s="3" t="s">
        <v>308</v>
      </c>
      <c r="B34" s="3" t="s">
        <v>308</v>
      </c>
      <c r="C34" s="3" t="s">
        <v>308</v>
      </c>
      <c r="D34" s="3" t="s">
        <v>308</v>
      </c>
      <c r="E34" s="5" t="s">
        <v>300</v>
      </c>
      <c r="F34" s="5" t="s">
        <v>214</v>
      </c>
      <c r="H34" s="3" t="s">
        <v>309</v>
      </c>
      <c r="K34" s="3" t="s">
        <v>310</v>
      </c>
      <c r="L34" s="3" t="s">
        <v>311</v>
      </c>
      <c r="M34" s="3" t="s">
        <v>218</v>
      </c>
      <c r="N34" s="3">
        <v>89115</v>
      </c>
      <c r="O34" s="7"/>
    </row>
    <row r="35" s="3" customFormat="1" customHeight="1" spans="1:15">
      <c r="A35" s="3" t="s">
        <v>312</v>
      </c>
      <c r="B35" s="3" t="s">
        <v>312</v>
      </c>
      <c r="C35" s="3" t="s">
        <v>312</v>
      </c>
      <c r="D35" s="3" t="s">
        <v>312</v>
      </c>
      <c r="E35" s="5" t="s">
        <v>300</v>
      </c>
      <c r="F35" s="5" t="s">
        <v>214</v>
      </c>
      <c r="H35" s="3" t="s">
        <v>313</v>
      </c>
      <c r="K35" s="3" t="s">
        <v>314</v>
      </c>
      <c r="L35" s="3" t="s">
        <v>224</v>
      </c>
      <c r="M35" s="3" t="s">
        <v>218</v>
      </c>
      <c r="N35" s="3">
        <v>85307</v>
      </c>
      <c r="O35" s="7"/>
    </row>
    <row r="36" s="3" customFormat="1" customHeight="1" spans="1:15">
      <c r="A36" s="3" t="s">
        <v>315</v>
      </c>
      <c r="B36" s="3" t="s">
        <v>315</v>
      </c>
      <c r="C36" s="3" t="s">
        <v>315</v>
      </c>
      <c r="D36" s="3" t="s">
        <v>315</v>
      </c>
      <c r="E36" s="5" t="s">
        <v>300</v>
      </c>
      <c r="F36" s="5" t="s">
        <v>214</v>
      </c>
      <c r="H36" s="3" t="s">
        <v>316</v>
      </c>
      <c r="K36" s="3" t="s">
        <v>317</v>
      </c>
      <c r="L36" s="3" t="s">
        <v>224</v>
      </c>
      <c r="M36" s="3" t="s">
        <v>218</v>
      </c>
      <c r="N36" s="3">
        <v>85043</v>
      </c>
      <c r="O36" s="7"/>
    </row>
    <row r="37" s="3" customFormat="1" customHeight="1" spans="1:15">
      <c r="A37" s="3" t="s">
        <v>318</v>
      </c>
      <c r="B37" s="3" t="s">
        <v>318</v>
      </c>
      <c r="C37" s="3" t="s">
        <v>318</v>
      </c>
      <c r="D37" s="3" t="s">
        <v>318</v>
      </c>
      <c r="E37" s="5" t="s">
        <v>300</v>
      </c>
      <c r="F37" s="5" t="s">
        <v>214</v>
      </c>
      <c r="H37" s="3" t="s">
        <v>319</v>
      </c>
      <c r="K37" s="3" t="s">
        <v>320</v>
      </c>
      <c r="L37" s="3" t="s">
        <v>217</v>
      </c>
      <c r="M37" s="3" t="s">
        <v>218</v>
      </c>
      <c r="N37" s="3">
        <v>95215</v>
      </c>
      <c r="O37" s="7"/>
    </row>
    <row r="38" s="3" customFormat="1" customHeight="1" spans="1:15">
      <c r="A38" s="3" t="s">
        <v>321</v>
      </c>
      <c r="B38" s="3" t="s">
        <v>321</v>
      </c>
      <c r="C38" s="3" t="s">
        <v>321</v>
      </c>
      <c r="D38" s="3" t="s">
        <v>321</v>
      </c>
      <c r="E38" s="5" t="s">
        <v>300</v>
      </c>
      <c r="F38" s="5" t="s">
        <v>214</v>
      </c>
      <c r="H38" s="3" t="s">
        <v>322</v>
      </c>
      <c r="K38" s="3" t="s">
        <v>323</v>
      </c>
      <c r="L38" s="3" t="s">
        <v>217</v>
      </c>
      <c r="M38" s="3" t="s">
        <v>218</v>
      </c>
      <c r="N38" s="3">
        <v>92408</v>
      </c>
      <c r="O38" s="7"/>
    </row>
    <row r="39" s="3" customFormat="1" customHeight="1" spans="1:15">
      <c r="A39" s="3" t="s">
        <v>324</v>
      </c>
      <c r="B39" s="3" t="s">
        <v>324</v>
      </c>
      <c r="C39" s="3" t="s">
        <v>324</v>
      </c>
      <c r="D39" s="3" t="s">
        <v>324</v>
      </c>
      <c r="E39" s="5" t="s">
        <v>300</v>
      </c>
      <c r="F39" s="5" t="s">
        <v>214</v>
      </c>
      <c r="H39" s="3" t="s">
        <v>325</v>
      </c>
      <c r="K39" s="3" t="s">
        <v>326</v>
      </c>
      <c r="L39" s="3" t="s">
        <v>327</v>
      </c>
      <c r="M39" s="3" t="s">
        <v>218</v>
      </c>
      <c r="N39" s="3">
        <v>75241</v>
      </c>
      <c r="O39" s="7"/>
    </row>
    <row r="40" s="3" customFormat="1" customHeight="1" spans="1:15">
      <c r="A40" s="3" t="s">
        <v>328</v>
      </c>
      <c r="B40" s="3" t="s">
        <v>328</v>
      </c>
      <c r="C40" s="3" t="s">
        <v>328</v>
      </c>
      <c r="D40" s="3" t="s">
        <v>328</v>
      </c>
      <c r="E40" s="5" t="s">
        <v>300</v>
      </c>
      <c r="F40" s="5" t="s">
        <v>214</v>
      </c>
      <c r="H40" s="3" t="s">
        <v>329</v>
      </c>
      <c r="K40" s="3" t="s">
        <v>330</v>
      </c>
      <c r="L40" s="3" t="s">
        <v>217</v>
      </c>
      <c r="M40" s="3" t="s">
        <v>218</v>
      </c>
      <c r="N40" s="3">
        <v>91321</v>
      </c>
      <c r="O40" s="7"/>
    </row>
    <row r="41" s="3" customFormat="1" customHeight="1" spans="1:15">
      <c r="A41" s="3" t="s">
        <v>331</v>
      </c>
      <c r="B41" s="3" t="s">
        <v>331</v>
      </c>
      <c r="C41" s="3" t="s">
        <v>331</v>
      </c>
      <c r="D41" s="3" t="s">
        <v>331</v>
      </c>
      <c r="E41" s="5" t="s">
        <v>300</v>
      </c>
      <c r="F41" s="5" t="s">
        <v>214</v>
      </c>
      <c r="H41" s="3" t="s">
        <v>332</v>
      </c>
      <c r="K41" s="3" t="s">
        <v>333</v>
      </c>
      <c r="L41" s="3" t="s">
        <v>224</v>
      </c>
      <c r="M41" s="3" t="s">
        <v>218</v>
      </c>
      <c r="N41" s="3">
        <v>85396</v>
      </c>
      <c r="O41" s="7"/>
    </row>
    <row r="42" s="3" customFormat="1" customHeight="1" spans="1:15">
      <c r="A42" s="3" t="s">
        <v>334</v>
      </c>
      <c r="B42" s="3" t="s">
        <v>334</v>
      </c>
      <c r="C42" s="3" t="s">
        <v>334</v>
      </c>
      <c r="D42" s="3" t="s">
        <v>334</v>
      </c>
      <c r="E42" s="5" t="s">
        <v>300</v>
      </c>
      <c r="F42" s="5" t="s">
        <v>214</v>
      </c>
      <c r="H42" s="3" t="s">
        <v>335</v>
      </c>
      <c r="K42" s="3" t="s">
        <v>336</v>
      </c>
      <c r="L42" s="3" t="s">
        <v>217</v>
      </c>
      <c r="M42" s="3" t="s">
        <v>218</v>
      </c>
      <c r="N42" s="3">
        <v>93263</v>
      </c>
      <c r="O42" s="7"/>
    </row>
    <row r="43" s="3" customFormat="1" customHeight="1" spans="1:15">
      <c r="A43" s="3" t="s">
        <v>337</v>
      </c>
      <c r="B43" s="3" t="s">
        <v>337</v>
      </c>
      <c r="C43" s="3" t="s">
        <v>337</v>
      </c>
      <c r="D43" s="3" t="s">
        <v>337</v>
      </c>
      <c r="E43" s="5" t="s">
        <v>300</v>
      </c>
      <c r="F43" s="5" t="s">
        <v>214</v>
      </c>
      <c r="H43" s="3" t="s">
        <v>338</v>
      </c>
      <c r="K43" s="3" t="s">
        <v>339</v>
      </c>
      <c r="L43" s="3" t="s">
        <v>217</v>
      </c>
      <c r="M43" s="3" t="s">
        <v>218</v>
      </c>
      <c r="N43" s="3">
        <v>92394</v>
      </c>
      <c r="O43" s="7"/>
    </row>
    <row r="44" s="3" customFormat="1" customHeight="1" spans="1:15">
      <c r="A44" s="3" t="s">
        <v>340</v>
      </c>
      <c r="B44" s="3" t="s">
        <v>340</v>
      </c>
      <c r="C44" s="3" t="s">
        <v>340</v>
      </c>
      <c r="D44" s="3" t="s">
        <v>340</v>
      </c>
      <c r="E44" s="5" t="s">
        <v>300</v>
      </c>
      <c r="F44" s="5" t="s">
        <v>214</v>
      </c>
      <c r="H44" s="3" t="s">
        <v>341</v>
      </c>
      <c r="K44" s="3" t="s">
        <v>342</v>
      </c>
      <c r="L44" s="3" t="s">
        <v>343</v>
      </c>
      <c r="M44" s="3" t="s">
        <v>218</v>
      </c>
      <c r="N44" s="3" t="s">
        <v>344</v>
      </c>
      <c r="O44" s="7"/>
    </row>
    <row r="45" s="3" customFormat="1" customHeight="1" spans="1:15">
      <c r="A45" s="3" t="s">
        <v>345</v>
      </c>
      <c r="B45" s="3" t="s">
        <v>345</v>
      </c>
      <c r="C45" s="3" t="s">
        <v>345</v>
      </c>
      <c r="D45" s="3" t="s">
        <v>345</v>
      </c>
      <c r="E45" s="5" t="s">
        <v>300</v>
      </c>
      <c r="F45" s="5" t="s">
        <v>214</v>
      </c>
      <c r="H45" s="3" t="s">
        <v>346</v>
      </c>
      <c r="K45" s="3" t="s">
        <v>347</v>
      </c>
      <c r="L45" s="3" t="s">
        <v>287</v>
      </c>
      <c r="M45" s="3" t="s">
        <v>218</v>
      </c>
      <c r="N45" s="3">
        <v>17057</v>
      </c>
      <c r="O45" s="7"/>
    </row>
    <row r="46" s="3" customFormat="1" customHeight="1" spans="1:15">
      <c r="A46" s="3" t="s">
        <v>348</v>
      </c>
      <c r="B46" s="3" t="s">
        <v>348</v>
      </c>
      <c r="C46" s="3" t="s">
        <v>348</v>
      </c>
      <c r="D46" s="3" t="s">
        <v>348</v>
      </c>
      <c r="E46" s="5" t="s">
        <v>300</v>
      </c>
      <c r="F46" s="5" t="s">
        <v>214</v>
      </c>
      <c r="H46" s="3" t="s">
        <v>349</v>
      </c>
      <c r="K46" s="3" t="s">
        <v>350</v>
      </c>
      <c r="L46" s="3" t="s">
        <v>268</v>
      </c>
      <c r="M46" s="3" t="s">
        <v>218</v>
      </c>
      <c r="N46" s="3">
        <v>30184</v>
      </c>
      <c r="O46" s="7"/>
    </row>
    <row r="47" s="3" customFormat="1" customHeight="1" spans="1:15">
      <c r="A47" s="3" t="s">
        <v>351</v>
      </c>
      <c r="B47" s="3" t="s">
        <v>351</v>
      </c>
      <c r="C47" s="3" t="s">
        <v>351</v>
      </c>
      <c r="D47" s="3" t="s">
        <v>351</v>
      </c>
      <c r="E47" s="5" t="s">
        <v>300</v>
      </c>
      <c r="F47" s="5" t="s">
        <v>214</v>
      </c>
      <c r="H47" s="3" t="s">
        <v>352</v>
      </c>
      <c r="K47" s="3" t="s">
        <v>353</v>
      </c>
      <c r="L47" s="3" t="s">
        <v>217</v>
      </c>
      <c r="M47" s="3" t="s">
        <v>218</v>
      </c>
      <c r="N47" s="3">
        <v>92374</v>
      </c>
      <c r="O47" s="7"/>
    </row>
    <row r="48" s="3" customFormat="1" customHeight="1" spans="1:15">
      <c r="A48" s="3" t="s">
        <v>354</v>
      </c>
      <c r="B48" s="3" t="s">
        <v>354</v>
      </c>
      <c r="C48" s="3" t="s">
        <v>354</v>
      </c>
      <c r="D48" s="3" t="s">
        <v>354</v>
      </c>
      <c r="E48" s="5" t="s">
        <v>300</v>
      </c>
      <c r="F48" s="5" t="s">
        <v>214</v>
      </c>
      <c r="H48" s="3" t="s">
        <v>355</v>
      </c>
      <c r="K48" s="3" t="s">
        <v>356</v>
      </c>
      <c r="L48" s="3" t="s">
        <v>249</v>
      </c>
      <c r="M48" s="3" t="s">
        <v>218</v>
      </c>
      <c r="N48" s="3">
        <v>34986</v>
      </c>
      <c r="O48" s="7"/>
    </row>
    <row r="49" s="3" customFormat="1" customHeight="1" spans="1:15">
      <c r="A49" s="3" t="s">
        <v>357</v>
      </c>
      <c r="B49" s="3" t="s">
        <v>357</v>
      </c>
      <c r="C49" s="3" t="s">
        <v>357</v>
      </c>
      <c r="D49" s="3" t="s">
        <v>357</v>
      </c>
      <c r="E49" s="5" t="s">
        <v>300</v>
      </c>
      <c r="F49" s="5" t="s">
        <v>214</v>
      </c>
      <c r="H49" s="3" t="s">
        <v>358</v>
      </c>
      <c r="K49" s="3" t="s">
        <v>359</v>
      </c>
      <c r="L49" s="3" t="s">
        <v>307</v>
      </c>
      <c r="M49" s="3" t="s">
        <v>218</v>
      </c>
      <c r="N49" s="3" t="s">
        <v>360</v>
      </c>
      <c r="O49" s="7"/>
    </row>
    <row r="50" s="3" customFormat="1" customHeight="1" spans="1:15">
      <c r="A50" s="3" t="s">
        <v>361</v>
      </c>
      <c r="B50" s="3" t="s">
        <v>361</v>
      </c>
      <c r="C50" s="3" t="s">
        <v>361</v>
      </c>
      <c r="D50" s="3" t="s">
        <v>361</v>
      </c>
      <c r="E50" s="5" t="s">
        <v>300</v>
      </c>
      <c r="F50" s="5" t="s">
        <v>214</v>
      </c>
      <c r="H50" s="3" t="s">
        <v>362</v>
      </c>
      <c r="K50" s="3" t="s">
        <v>363</v>
      </c>
      <c r="L50" s="3" t="s">
        <v>287</v>
      </c>
      <c r="M50" s="3" t="s">
        <v>218</v>
      </c>
      <c r="N50" s="3" t="s">
        <v>364</v>
      </c>
      <c r="O50" s="7"/>
    </row>
    <row r="51" s="3" customFormat="1" ht="12" customHeight="1" spans="1:15">
      <c r="A51" s="3" t="s">
        <v>365</v>
      </c>
      <c r="B51" s="3" t="s">
        <v>365</v>
      </c>
      <c r="C51" s="3" t="s">
        <v>365</v>
      </c>
      <c r="D51" s="3" t="s">
        <v>365</v>
      </c>
      <c r="E51" s="5" t="s">
        <v>300</v>
      </c>
      <c r="F51" s="5" t="s">
        <v>214</v>
      </c>
      <c r="H51" s="3" t="s">
        <v>366</v>
      </c>
      <c r="K51" s="3" t="s">
        <v>367</v>
      </c>
      <c r="L51" s="3" t="s">
        <v>217</v>
      </c>
      <c r="M51" s="3" t="s">
        <v>218</v>
      </c>
      <c r="N51" s="3">
        <v>92344</v>
      </c>
      <c r="O51" s="7"/>
    </row>
    <row r="52" s="3" customFormat="1" ht="13" customHeight="1" spans="1:15">
      <c r="A52" s="3" t="s">
        <v>368</v>
      </c>
      <c r="B52" s="3" t="s">
        <v>368</v>
      </c>
      <c r="C52" s="3" t="s">
        <v>368</v>
      </c>
      <c r="D52" s="3" t="s">
        <v>368</v>
      </c>
      <c r="E52" s="5" t="s">
        <v>300</v>
      </c>
      <c r="F52" s="5" t="s">
        <v>214</v>
      </c>
      <c r="H52" s="3" t="s">
        <v>369</v>
      </c>
      <c r="K52" s="3" t="s">
        <v>370</v>
      </c>
      <c r="L52" s="3" t="s">
        <v>217</v>
      </c>
      <c r="M52" s="3" t="s">
        <v>218</v>
      </c>
      <c r="N52" s="3">
        <v>92223</v>
      </c>
      <c r="O52" s="7"/>
    </row>
    <row r="53" s="3" customFormat="1" customHeight="1" spans="1:15">
      <c r="A53" s="3" t="s">
        <v>371</v>
      </c>
      <c r="B53" s="3" t="s">
        <v>371</v>
      </c>
      <c r="C53" s="3" t="s">
        <v>371</v>
      </c>
      <c r="D53" s="3" t="s">
        <v>371</v>
      </c>
      <c r="E53" s="5" t="s">
        <v>300</v>
      </c>
      <c r="F53" s="5" t="s">
        <v>214</v>
      </c>
      <c r="H53" s="3" t="s">
        <v>372</v>
      </c>
      <c r="K53" s="3" t="s">
        <v>373</v>
      </c>
      <c r="L53" s="3" t="s">
        <v>249</v>
      </c>
      <c r="M53" s="3" t="s">
        <v>218</v>
      </c>
      <c r="N53" s="3" t="s">
        <v>374</v>
      </c>
      <c r="O53" s="7"/>
    </row>
    <row r="54" s="3" customFormat="1" customHeight="1" spans="1:15">
      <c r="A54" s="3" t="s">
        <v>375</v>
      </c>
      <c r="B54" s="3" t="s">
        <v>375</v>
      </c>
      <c r="C54" s="3" t="s">
        <v>375</v>
      </c>
      <c r="D54" s="3" t="s">
        <v>375</v>
      </c>
      <c r="E54" s="5" t="s">
        <v>300</v>
      </c>
      <c r="F54" s="5" t="s">
        <v>214</v>
      </c>
      <c r="H54" s="3" t="s">
        <v>376</v>
      </c>
      <c r="K54" s="3" t="s">
        <v>377</v>
      </c>
      <c r="L54" s="3" t="s">
        <v>378</v>
      </c>
      <c r="M54" s="5" t="s">
        <v>218</v>
      </c>
      <c r="N54" s="3">
        <v>87031</v>
      </c>
      <c r="O54" s="7"/>
    </row>
    <row r="55" s="3" customFormat="1" customHeight="1" spans="1:15">
      <c r="A55" s="3" t="s">
        <v>379</v>
      </c>
      <c r="B55" s="3" t="s">
        <v>379</v>
      </c>
      <c r="C55" s="3" t="s">
        <v>379</v>
      </c>
      <c r="D55" s="3" t="s">
        <v>379</v>
      </c>
      <c r="E55" s="5" t="s">
        <v>300</v>
      </c>
      <c r="F55" s="5" t="s">
        <v>214</v>
      </c>
      <c r="H55" s="3" t="s">
        <v>380</v>
      </c>
      <c r="K55" s="3" t="s">
        <v>381</v>
      </c>
      <c r="L55" s="3" t="s">
        <v>382</v>
      </c>
      <c r="M55" s="5" t="s">
        <v>218</v>
      </c>
      <c r="N55" s="3">
        <v>99301</v>
      </c>
      <c r="O55" s="7"/>
    </row>
    <row r="56" s="3" customFormat="1" customHeight="1" spans="1:15">
      <c r="A56" s="3" t="s">
        <v>383</v>
      </c>
      <c r="B56" s="3" t="s">
        <v>383</v>
      </c>
      <c r="C56" s="3" t="s">
        <v>383</v>
      </c>
      <c r="D56" s="3" t="s">
        <v>383</v>
      </c>
      <c r="E56" s="5" t="s">
        <v>300</v>
      </c>
      <c r="F56" s="5" t="s">
        <v>214</v>
      </c>
      <c r="H56" s="3" t="s">
        <v>384</v>
      </c>
      <c r="K56" s="3" t="s">
        <v>385</v>
      </c>
      <c r="L56" s="3" t="s">
        <v>386</v>
      </c>
      <c r="M56" s="5" t="s">
        <v>218</v>
      </c>
      <c r="N56" s="3" t="s">
        <v>387</v>
      </c>
      <c r="O56" s="7"/>
    </row>
    <row r="57" s="3" customFormat="1" customHeight="1" spans="1:15">
      <c r="A57" s="3" t="s">
        <v>388</v>
      </c>
      <c r="B57" s="3" t="s">
        <v>388</v>
      </c>
      <c r="C57" s="3" t="s">
        <v>388</v>
      </c>
      <c r="D57" s="3" t="s">
        <v>388</v>
      </c>
      <c r="E57" s="5" t="s">
        <v>300</v>
      </c>
      <c r="F57" s="5" t="s">
        <v>214</v>
      </c>
      <c r="H57" s="3" t="s">
        <v>389</v>
      </c>
      <c r="K57" s="3" t="s">
        <v>390</v>
      </c>
      <c r="L57" s="3" t="s">
        <v>391</v>
      </c>
      <c r="M57" s="5" t="s">
        <v>218</v>
      </c>
      <c r="N57" s="3">
        <v>35756</v>
      </c>
      <c r="O57" s="7"/>
    </row>
    <row r="58" s="3" customFormat="1" customHeight="1" spans="1:15">
      <c r="A58" s="3" t="s">
        <v>392</v>
      </c>
      <c r="B58" s="3" t="s">
        <v>392</v>
      </c>
      <c r="C58" s="3" t="s">
        <v>392</v>
      </c>
      <c r="D58" s="3" t="s">
        <v>392</v>
      </c>
      <c r="E58" s="5" t="s">
        <v>300</v>
      </c>
      <c r="F58" s="5" t="s">
        <v>214</v>
      </c>
      <c r="H58" s="3" t="s">
        <v>393</v>
      </c>
      <c r="K58" s="3" t="s">
        <v>394</v>
      </c>
      <c r="L58" s="3" t="s">
        <v>217</v>
      </c>
      <c r="M58" s="5" t="s">
        <v>218</v>
      </c>
      <c r="N58" s="3" t="s">
        <v>395</v>
      </c>
      <c r="O58" s="7"/>
    </row>
    <row r="59" s="3" customFormat="1" customHeight="1" spans="1:15">
      <c r="A59" s="3" t="s">
        <v>396</v>
      </c>
      <c r="B59" s="3" t="s">
        <v>396</v>
      </c>
      <c r="C59" s="3" t="s">
        <v>396</v>
      </c>
      <c r="D59" s="3" t="s">
        <v>396</v>
      </c>
      <c r="E59" s="5" t="s">
        <v>300</v>
      </c>
      <c r="F59" s="5" t="s">
        <v>214</v>
      </c>
      <c r="H59" s="3" t="s">
        <v>397</v>
      </c>
      <c r="K59" s="3" t="s">
        <v>398</v>
      </c>
      <c r="L59" s="3" t="s">
        <v>278</v>
      </c>
      <c r="M59" s="5" t="s">
        <v>218</v>
      </c>
      <c r="N59" s="3">
        <v>60142</v>
      </c>
      <c r="O59" s="7"/>
    </row>
    <row r="60" s="3" customFormat="1" customHeight="1" spans="1:15">
      <c r="A60" s="3" t="s">
        <v>399</v>
      </c>
      <c r="B60" s="3" t="s">
        <v>399</v>
      </c>
      <c r="C60" s="3" t="s">
        <v>399</v>
      </c>
      <c r="D60" s="3" t="s">
        <v>399</v>
      </c>
      <c r="E60" s="5" t="s">
        <v>300</v>
      </c>
      <c r="F60" s="5" t="s">
        <v>214</v>
      </c>
      <c r="H60" s="3" t="s">
        <v>400</v>
      </c>
      <c r="K60" s="3" t="s">
        <v>401</v>
      </c>
      <c r="L60" s="3" t="s">
        <v>307</v>
      </c>
      <c r="M60" s="5" t="s">
        <v>218</v>
      </c>
      <c r="N60" s="3">
        <v>22406</v>
      </c>
      <c r="O60" s="7"/>
    </row>
    <row r="61" s="3" customFormat="1" customHeight="1" spans="1:15">
      <c r="A61" s="3" t="s">
        <v>402</v>
      </c>
      <c r="B61" s="3" t="s">
        <v>402</v>
      </c>
      <c r="C61" s="3" t="s">
        <v>402</v>
      </c>
      <c r="D61" s="3" t="s">
        <v>402</v>
      </c>
      <c r="E61" s="5" t="s">
        <v>300</v>
      </c>
      <c r="F61" s="5" t="s">
        <v>214</v>
      </c>
      <c r="H61" s="3" t="s">
        <v>403</v>
      </c>
      <c r="K61" s="3" t="s">
        <v>404</v>
      </c>
      <c r="L61" s="3" t="s">
        <v>264</v>
      </c>
      <c r="M61" s="5" t="s">
        <v>218</v>
      </c>
      <c r="N61" s="3">
        <v>44705</v>
      </c>
      <c r="O61" s="7"/>
    </row>
    <row r="62" s="3" customFormat="1" customHeight="1" spans="1:15">
      <c r="A62" s="3" t="s">
        <v>405</v>
      </c>
      <c r="B62" s="3" t="s">
        <v>405</v>
      </c>
      <c r="C62" s="3" t="s">
        <v>405</v>
      </c>
      <c r="D62" s="3" t="s">
        <v>405</v>
      </c>
      <c r="E62" s="5" t="s">
        <v>300</v>
      </c>
      <c r="F62" s="5" t="s">
        <v>214</v>
      </c>
      <c r="H62" s="3" t="s">
        <v>406</v>
      </c>
      <c r="K62" s="3" t="s">
        <v>407</v>
      </c>
      <c r="L62" s="3" t="s">
        <v>253</v>
      </c>
      <c r="M62" s="5" t="s">
        <v>218</v>
      </c>
      <c r="N62" s="3">
        <v>38611</v>
      </c>
      <c r="O62" s="7"/>
    </row>
    <row r="63" s="3" customFormat="1" customHeight="1" spans="1:15">
      <c r="A63" s="3" t="s">
        <v>408</v>
      </c>
      <c r="B63" s="3" t="s">
        <v>408</v>
      </c>
      <c r="C63" s="3" t="s">
        <v>408</v>
      </c>
      <c r="D63" s="3" t="s">
        <v>408</v>
      </c>
      <c r="E63" s="5" t="s">
        <v>300</v>
      </c>
      <c r="F63" s="5" t="s">
        <v>214</v>
      </c>
      <c r="H63" s="3" t="s">
        <v>409</v>
      </c>
      <c r="K63" s="3" t="s">
        <v>410</v>
      </c>
      <c r="L63" s="3" t="s">
        <v>278</v>
      </c>
      <c r="M63" s="5" t="s">
        <v>218</v>
      </c>
      <c r="N63" s="3">
        <v>60142</v>
      </c>
      <c r="O63" s="7"/>
    </row>
    <row r="64" s="3" customFormat="1" customHeight="1" spans="1:15">
      <c r="A64" s="3" t="s">
        <v>411</v>
      </c>
      <c r="B64" s="3" t="s">
        <v>411</v>
      </c>
      <c r="C64" s="3" t="s">
        <v>411</v>
      </c>
      <c r="D64" s="3" t="s">
        <v>411</v>
      </c>
      <c r="E64" s="5" t="s">
        <v>300</v>
      </c>
      <c r="F64" s="5" t="s">
        <v>214</v>
      </c>
      <c r="H64" s="3" t="s">
        <v>412</v>
      </c>
      <c r="K64" s="3" t="s">
        <v>413</v>
      </c>
      <c r="L64" s="3" t="s">
        <v>414</v>
      </c>
      <c r="M64" s="5" t="s">
        <v>218</v>
      </c>
      <c r="N64" s="3">
        <v>27577</v>
      </c>
      <c r="O64" s="7"/>
    </row>
    <row r="65" s="5" customFormat="1" ht="22" customHeight="1" spans="1:15">
      <c r="A65" s="5" t="s">
        <v>415</v>
      </c>
      <c r="B65" s="5" t="str">
        <f xml:space="preserve">VLOOKUP(A65,[1]DATA!$A$1:$IV$65536,2,0)</f>
        <v>BNA5</v>
      </c>
      <c r="C65" s="5" t="str">
        <f xml:space="preserve">VLOOKUP(A65,[1]DATA!$A$1:$IV$65536,3,0)</f>
        <v>BNA5</v>
      </c>
      <c r="D65" s="5" t="str">
        <f xml:space="preserve">VLOOKUP(A65,[1]DATA!$A$1:$IV$65536,4,0)</f>
        <v>BNA5</v>
      </c>
      <c r="E65" s="5" t="str">
        <f xml:space="preserve">VLOOKUP(A65,[1]DATA!$A$1:$IV$65536,5,0)</f>
        <v>AMAZON</v>
      </c>
      <c r="F65" s="5" t="str">
        <f xml:space="preserve">VLOOKUP(A65,[1]DATA!$A$1:$IV$65536,6,0)</f>
        <v>0000000000</v>
      </c>
      <c r="H65" s="5" t="str">
        <f xml:space="preserve">VLOOKUP(A65,[1]DATA!$A$1:$IV$65536,8,0)</f>
        <v>50 Airways Blvd</v>
      </c>
      <c r="K65" s="5" t="str">
        <f xml:space="preserve">VLOOKUP(A65,[1]DATA!$A$1:$IV$65536,11,0)</f>
        <v>Nashville</v>
      </c>
      <c r="L65" s="5" t="str">
        <f xml:space="preserve">VLOOKUP(A65,[1]DATA!$A$1:$IV$65536,12,0)</f>
        <v>TN</v>
      </c>
      <c r="M65" s="5" t="str">
        <f xml:space="preserve">VLOOKUP(A65,[1]DATA!$A$1:$IV$65536,13,0)</f>
        <v>US</v>
      </c>
      <c r="N65" s="5">
        <f xml:space="preserve">VLOOKUP(A65,[1]DATA!$A$1:$IV$65536,14,0)</f>
        <v>37217</v>
      </c>
    </row>
    <row r="66" s="5" customFormat="1" ht="21" customHeight="1" spans="1:15">
      <c r="A66" s="5" t="s">
        <v>416</v>
      </c>
      <c r="B66" s="5" t="s">
        <v>416</v>
      </c>
      <c r="C66" s="5" t="s">
        <v>416</v>
      </c>
      <c r="D66" s="5" t="s">
        <v>416</v>
      </c>
      <c r="E66" s="5" t="s">
        <v>300</v>
      </c>
      <c r="F66" s="5" t="s">
        <v>214</v>
      </c>
      <c r="H66" s="5" t="s">
        <v>417</v>
      </c>
      <c r="K66" s="5" t="s">
        <v>418</v>
      </c>
      <c r="L66" s="5" t="s">
        <v>268</v>
      </c>
      <c r="M66" s="5" t="s">
        <v>218</v>
      </c>
      <c r="N66" s="5">
        <v>30122</v>
      </c>
    </row>
    <row r="67" s="3" customFormat="1" customHeight="1" spans="1:15">
      <c r="A67" s="3" t="s">
        <v>419</v>
      </c>
      <c r="B67" s="3" t="s">
        <v>419</v>
      </c>
      <c r="C67" s="3" t="s">
        <v>419</v>
      </c>
      <c r="D67" s="3" t="s">
        <v>419</v>
      </c>
      <c r="E67" s="5" t="s">
        <v>300</v>
      </c>
      <c r="F67" s="5" t="s">
        <v>214</v>
      </c>
      <c r="H67" s="3" t="s">
        <v>420</v>
      </c>
      <c r="K67" s="3" t="s">
        <v>421</v>
      </c>
      <c r="L67" s="3" t="s">
        <v>382</v>
      </c>
      <c r="M67" s="5" t="s">
        <v>218</v>
      </c>
      <c r="N67" s="3">
        <v>98327</v>
      </c>
      <c r="O67" s="7"/>
    </row>
    <row r="68" s="5" customFormat="1" customHeight="1" spans="1:15">
      <c r="A68" s="5" t="s">
        <v>422</v>
      </c>
      <c r="B68" s="5" t="s">
        <v>422</v>
      </c>
      <c r="C68" s="5" t="s">
        <v>422</v>
      </c>
      <c r="D68" s="5" t="s">
        <v>422</v>
      </c>
      <c r="E68" s="5" t="s">
        <v>300</v>
      </c>
      <c r="F68" s="5" t="s">
        <v>214</v>
      </c>
      <c r="H68" s="5" t="s">
        <v>423</v>
      </c>
      <c r="K68" s="5" t="s">
        <v>424</v>
      </c>
      <c r="L68" s="5" t="s">
        <v>307</v>
      </c>
      <c r="M68" s="5" t="s">
        <v>218</v>
      </c>
      <c r="N68" s="5" t="s">
        <v>425</v>
      </c>
    </row>
    <row r="69" s="3" customFormat="1" customHeight="1" spans="1:15">
      <c r="A69" s="3" t="s">
        <v>426</v>
      </c>
      <c r="B69" s="3" t="s">
        <v>426</v>
      </c>
      <c r="C69" s="3" t="s">
        <v>426</v>
      </c>
      <c r="D69" s="3" t="s">
        <v>426</v>
      </c>
      <c r="E69" s="13" t="s">
        <v>300</v>
      </c>
      <c r="F69" s="13" t="s">
        <v>427</v>
      </c>
      <c r="H69" s="3" t="s">
        <v>428</v>
      </c>
      <c r="K69" s="3" t="s">
        <v>429</v>
      </c>
      <c r="L69" s="3" t="s">
        <v>228</v>
      </c>
      <c r="M69" s="3" t="s">
        <v>218</v>
      </c>
      <c r="N69" s="3">
        <v>77032</v>
      </c>
      <c r="O69" s="7"/>
    </row>
    <row r="70" s="3" customFormat="1" customHeight="1" spans="1:15">
      <c r="A70" s="3" t="s">
        <v>430</v>
      </c>
      <c r="B70" s="3" t="s">
        <v>430</v>
      </c>
      <c r="C70" s="3" t="s">
        <v>430</v>
      </c>
      <c r="D70" s="3" t="s">
        <v>430</v>
      </c>
      <c r="E70" s="13" t="s">
        <v>300</v>
      </c>
      <c r="F70" s="55" t="s">
        <v>291</v>
      </c>
      <c r="H70" s="3" t="s">
        <v>431</v>
      </c>
      <c r="K70" s="3" t="s">
        <v>432</v>
      </c>
      <c r="L70" s="3" t="s">
        <v>217</v>
      </c>
      <c r="M70" s="3" t="s">
        <v>218</v>
      </c>
      <c r="N70" s="3" t="s">
        <v>433</v>
      </c>
      <c r="O70" s="7"/>
    </row>
    <row r="71" s="3" customFormat="1" customHeight="1" spans="1:15">
      <c r="A71" s="3" t="s">
        <v>434</v>
      </c>
      <c r="B71" s="3" t="s">
        <v>434</v>
      </c>
      <c r="C71" s="3" t="s">
        <v>434</v>
      </c>
      <c r="D71" s="3" t="s">
        <v>434</v>
      </c>
      <c r="E71" s="13" t="s">
        <v>300</v>
      </c>
      <c r="F71" s="13" t="s">
        <v>427</v>
      </c>
      <c r="H71" s="14" t="s">
        <v>435</v>
      </c>
      <c r="K71" s="3" t="s">
        <v>436</v>
      </c>
      <c r="L71" s="3" t="s">
        <v>414</v>
      </c>
      <c r="M71" s="3" t="s">
        <v>218</v>
      </c>
      <c r="N71" s="3">
        <v>28134</v>
      </c>
      <c r="O71" s="7"/>
    </row>
    <row r="72" s="3" customFormat="1" customHeight="1" spans="1:15">
      <c r="A72" s="3" t="s">
        <v>437</v>
      </c>
      <c r="B72" s="3" t="s">
        <v>437</v>
      </c>
      <c r="C72" s="3" t="s">
        <v>437</v>
      </c>
      <c r="D72" s="3" t="s">
        <v>437</v>
      </c>
      <c r="E72" s="13" t="s">
        <v>300</v>
      </c>
      <c r="F72" s="13" t="s">
        <v>427</v>
      </c>
      <c r="H72" s="3" t="s">
        <v>438</v>
      </c>
      <c r="K72" s="3" t="s">
        <v>439</v>
      </c>
      <c r="L72" s="3" t="s">
        <v>382</v>
      </c>
      <c r="M72" s="3" t="s">
        <v>218</v>
      </c>
      <c r="N72" s="3" t="s">
        <v>440</v>
      </c>
      <c r="O72" s="7"/>
    </row>
    <row r="73" s="3" customFormat="1" customHeight="1" spans="1:15">
      <c r="A73" s="3" t="s">
        <v>441</v>
      </c>
      <c r="B73" s="3" t="s">
        <v>441</v>
      </c>
      <c r="C73" s="3" t="s">
        <v>441</v>
      </c>
      <c r="D73" s="3" t="s">
        <v>441</v>
      </c>
      <c r="E73" s="3" t="s">
        <v>300</v>
      </c>
      <c r="F73" s="13" t="s">
        <v>214</v>
      </c>
      <c r="H73" s="3" t="s">
        <v>442</v>
      </c>
      <c r="K73" s="3" t="s">
        <v>310</v>
      </c>
      <c r="L73" s="3" t="s">
        <v>311</v>
      </c>
      <c r="M73" s="13" t="s">
        <v>218</v>
      </c>
      <c r="N73" s="3" t="s">
        <v>443</v>
      </c>
      <c r="O73" s="7"/>
    </row>
    <row r="74" s="5" customFormat="1" customHeight="1" spans="1:15">
      <c r="A74" s="5" t="s">
        <v>444</v>
      </c>
      <c r="B74" s="5" t="s">
        <v>444</v>
      </c>
      <c r="C74" s="5" t="s">
        <v>444</v>
      </c>
      <c r="D74" s="5" t="s">
        <v>444</v>
      </c>
      <c r="E74" s="5" t="s">
        <v>300</v>
      </c>
      <c r="F74" s="5" t="s">
        <v>214</v>
      </c>
      <c r="H74" s="5" t="s">
        <v>445</v>
      </c>
      <c r="K74" s="5" t="s">
        <v>446</v>
      </c>
      <c r="L74" s="5" t="s">
        <v>447</v>
      </c>
      <c r="M74" s="5" t="s">
        <v>218</v>
      </c>
      <c r="N74" s="5">
        <v>48174</v>
      </c>
    </row>
    <row r="75" s="5" customFormat="1" customHeight="1" spans="1:15">
      <c r="A75" s="5" t="s">
        <v>448</v>
      </c>
      <c r="B75" s="5" t="s">
        <v>448</v>
      </c>
      <c r="C75" s="5" t="s">
        <v>448</v>
      </c>
      <c r="D75" s="5" t="s">
        <v>448</v>
      </c>
      <c r="E75" s="5" t="s">
        <v>300</v>
      </c>
      <c r="F75" s="5" t="s">
        <v>214</v>
      </c>
      <c r="H75" s="5" t="s">
        <v>449</v>
      </c>
      <c r="K75" s="5" t="s">
        <v>450</v>
      </c>
      <c r="L75" s="5" t="s">
        <v>343</v>
      </c>
      <c r="M75" s="5" t="s">
        <v>218</v>
      </c>
      <c r="N75" s="5">
        <v>21740</v>
      </c>
    </row>
    <row r="76" s="5" customFormat="1" customHeight="1" spans="1:15">
      <c r="A76" s="5" t="s">
        <v>451</v>
      </c>
      <c r="B76" s="5" t="s">
        <v>451</v>
      </c>
      <c r="C76" s="5" t="s">
        <v>451</v>
      </c>
      <c r="D76" s="5" t="s">
        <v>451</v>
      </c>
      <c r="E76" s="5" t="s">
        <v>300</v>
      </c>
      <c r="F76" s="5" t="s">
        <v>214</v>
      </c>
      <c r="H76" s="5" t="s">
        <v>452</v>
      </c>
      <c r="K76" s="5" t="s">
        <v>453</v>
      </c>
      <c r="L76" s="5" t="s">
        <v>343</v>
      </c>
      <c r="M76" s="5" t="s">
        <v>218</v>
      </c>
      <c r="N76" s="5" t="s">
        <v>454</v>
      </c>
    </row>
    <row r="77" s="5" customFormat="1" customHeight="1" spans="1:15">
      <c r="A77" s="5" t="s">
        <v>455</v>
      </c>
      <c r="B77" s="5" t="s">
        <v>455</v>
      </c>
      <c r="C77" s="5" t="s">
        <v>455</v>
      </c>
      <c r="D77" s="5" t="s">
        <v>455</v>
      </c>
      <c r="E77" s="5" t="s">
        <v>300</v>
      </c>
      <c r="F77" s="5" t="s">
        <v>214</v>
      </c>
      <c r="H77" s="5" t="s">
        <v>456</v>
      </c>
      <c r="K77" s="5" t="s">
        <v>457</v>
      </c>
      <c r="L77" s="5" t="s">
        <v>268</v>
      </c>
      <c r="M77" s="5" t="s">
        <v>218</v>
      </c>
      <c r="N77" s="5">
        <v>30549</v>
      </c>
    </row>
    <row r="78" s="5" customFormat="1" customHeight="1" spans="1:15">
      <c r="A78" s="5" t="s">
        <v>458</v>
      </c>
      <c r="B78" s="5" t="s">
        <v>458</v>
      </c>
      <c r="C78" s="5" t="s">
        <v>458</v>
      </c>
      <c r="D78" s="5" t="s">
        <v>458</v>
      </c>
      <c r="E78" s="5" t="s">
        <v>300</v>
      </c>
      <c r="F78" s="5" t="s">
        <v>214</v>
      </c>
      <c r="H78" s="5" t="s">
        <v>459</v>
      </c>
      <c r="K78" s="5" t="s">
        <v>460</v>
      </c>
      <c r="L78" s="5" t="s">
        <v>268</v>
      </c>
      <c r="M78" s="5" t="s">
        <v>218</v>
      </c>
      <c r="N78" s="5">
        <v>30517</v>
      </c>
    </row>
    <row r="79" s="3" customFormat="1" customHeight="1" spans="1:15">
      <c r="A79" s="5" t="s">
        <v>461</v>
      </c>
      <c r="B79" s="5" t="s">
        <v>461</v>
      </c>
      <c r="C79" s="5" t="s">
        <v>461</v>
      </c>
      <c r="D79" s="5" t="s">
        <v>461</v>
      </c>
      <c r="E79" s="5" t="s">
        <v>300</v>
      </c>
      <c r="F79" s="5" t="s">
        <v>214</v>
      </c>
      <c r="G79" s="5"/>
      <c r="H79" s="5" t="s">
        <v>462</v>
      </c>
      <c r="I79" s="5"/>
      <c r="J79" s="5"/>
      <c r="K79" s="5" t="s">
        <v>463</v>
      </c>
      <c r="L79" s="5" t="s">
        <v>249</v>
      </c>
      <c r="M79" s="5" t="s">
        <v>218</v>
      </c>
      <c r="N79" s="5">
        <v>33478</v>
      </c>
      <c r="O79" s="7"/>
    </row>
    <row r="80" s="3" customFormat="1" customHeight="1" spans="1:15">
      <c r="A80" s="3" t="s">
        <v>464</v>
      </c>
      <c r="B80" s="3" t="s">
        <v>464</v>
      </c>
      <c r="C80" s="3" t="s">
        <v>464</v>
      </c>
      <c r="D80" s="3" t="s">
        <v>464</v>
      </c>
      <c r="E80" s="13" t="s">
        <v>300</v>
      </c>
      <c r="F80" s="13" t="s">
        <v>214</v>
      </c>
      <c r="H80" s="3" t="s">
        <v>465</v>
      </c>
      <c r="K80" s="3" t="s">
        <v>336</v>
      </c>
      <c r="L80" s="3" t="s">
        <v>217</v>
      </c>
      <c r="M80" s="3" t="s">
        <v>218</v>
      </c>
      <c r="N80" s="3" t="s">
        <v>466</v>
      </c>
      <c r="O80" s="7"/>
    </row>
    <row r="81" s="3" customFormat="1" customHeight="1" spans="1:15">
      <c r="A81" s="3" t="s">
        <v>467</v>
      </c>
      <c r="B81" s="3" t="s">
        <v>467</v>
      </c>
      <c r="C81" s="3" t="s">
        <v>467</v>
      </c>
      <c r="D81" s="3" t="s">
        <v>467</v>
      </c>
      <c r="E81" s="13" t="s">
        <v>300</v>
      </c>
      <c r="F81" s="13" t="s">
        <v>214</v>
      </c>
      <c r="H81" s="3" t="s">
        <v>468</v>
      </c>
      <c r="K81" s="3" t="s">
        <v>469</v>
      </c>
      <c r="L81" s="3" t="s">
        <v>287</v>
      </c>
      <c r="M81" s="3" t="s">
        <v>218</v>
      </c>
      <c r="N81" s="3" t="s">
        <v>470</v>
      </c>
      <c r="O81" s="7"/>
    </row>
    <row r="82" s="3" customFormat="1" customHeight="1" spans="1:15">
      <c r="A82" s="3" t="s">
        <v>471</v>
      </c>
      <c r="B82" s="3" t="s">
        <v>471</v>
      </c>
      <c r="C82" s="3" t="s">
        <v>471</v>
      </c>
      <c r="D82" s="3" t="s">
        <v>471</v>
      </c>
      <c r="E82" s="13" t="s">
        <v>300</v>
      </c>
      <c r="F82" s="13" t="s">
        <v>214</v>
      </c>
      <c r="H82" s="3" t="s">
        <v>449</v>
      </c>
      <c r="K82" s="3" t="s">
        <v>342</v>
      </c>
      <c r="L82" s="3" t="s">
        <v>343</v>
      </c>
      <c r="M82" s="3" t="s">
        <v>218</v>
      </c>
      <c r="N82" s="3" t="s">
        <v>472</v>
      </c>
      <c r="O82" s="7"/>
    </row>
    <row r="83" s="3" customFormat="1" customHeight="1" spans="1:15">
      <c r="A83" s="3" t="s">
        <v>473</v>
      </c>
      <c r="B83" s="3" t="s">
        <v>473</v>
      </c>
      <c r="C83" s="3" t="s">
        <v>473</v>
      </c>
      <c r="D83" s="3" t="s">
        <v>473</v>
      </c>
      <c r="E83" s="13" t="s">
        <v>300</v>
      </c>
      <c r="F83" s="13" t="s">
        <v>214</v>
      </c>
      <c r="H83" s="14" t="s">
        <v>474</v>
      </c>
      <c r="K83" s="3" t="s">
        <v>475</v>
      </c>
      <c r="L83" s="3" t="s">
        <v>476</v>
      </c>
      <c r="M83" s="3" t="s">
        <v>218</v>
      </c>
      <c r="N83" s="3" t="s">
        <v>477</v>
      </c>
      <c r="O83" s="7"/>
    </row>
    <row r="84" s="3" customFormat="1" customHeight="1" spans="1:15">
      <c r="A84" s="3" t="s">
        <v>478</v>
      </c>
      <c r="B84" s="3" t="s">
        <v>478</v>
      </c>
      <c r="C84" s="3" t="s">
        <v>478</v>
      </c>
      <c r="D84" s="3" t="s">
        <v>478</v>
      </c>
      <c r="E84" s="13" t="s">
        <v>300</v>
      </c>
      <c r="F84" s="13" t="s">
        <v>214</v>
      </c>
      <c r="H84" s="14" t="s">
        <v>479</v>
      </c>
      <c r="K84" s="3" t="s">
        <v>480</v>
      </c>
      <c r="L84" s="3" t="s">
        <v>307</v>
      </c>
      <c r="M84" s="3" t="s">
        <v>218</v>
      </c>
      <c r="N84" s="3">
        <v>23321</v>
      </c>
      <c r="O84" s="7"/>
    </row>
    <row r="85" s="3" customFormat="1" customHeight="1" spans="1:15">
      <c r="A85" s="3" t="s">
        <v>481</v>
      </c>
      <c r="B85" s="3" t="s">
        <v>481</v>
      </c>
      <c r="C85" s="3" t="s">
        <v>481</v>
      </c>
      <c r="D85" s="3" t="s">
        <v>481</v>
      </c>
      <c r="E85" s="13" t="s">
        <v>300</v>
      </c>
      <c r="F85" s="13" t="s">
        <v>214</v>
      </c>
      <c r="H85" s="3" t="s">
        <v>482</v>
      </c>
      <c r="K85" s="3" t="s">
        <v>483</v>
      </c>
      <c r="L85" s="3" t="s">
        <v>287</v>
      </c>
      <c r="M85" s="3" t="s">
        <v>218</v>
      </c>
      <c r="N85" s="3">
        <v>17408</v>
      </c>
      <c r="O85" s="7"/>
    </row>
    <row r="86" s="3" customFormat="1" customHeight="1" spans="1:15">
      <c r="A86" s="3" t="s">
        <v>484</v>
      </c>
      <c r="B86" s="3" t="s">
        <v>484</v>
      </c>
      <c r="C86" s="3" t="s">
        <v>484</v>
      </c>
      <c r="D86" s="3" t="s">
        <v>484</v>
      </c>
      <c r="E86" s="13" t="s">
        <v>300</v>
      </c>
      <c r="F86" s="13" t="s">
        <v>214</v>
      </c>
      <c r="H86" s="3" t="s">
        <v>485</v>
      </c>
      <c r="K86" s="3" t="s">
        <v>486</v>
      </c>
      <c r="L86" s="3" t="s">
        <v>228</v>
      </c>
      <c r="M86" s="3" t="s">
        <v>218</v>
      </c>
      <c r="N86" s="3" t="s">
        <v>487</v>
      </c>
      <c r="O86" s="7"/>
    </row>
    <row r="87" s="3" customFormat="1" customHeight="1" spans="1:15">
      <c r="A87" s="13" t="s">
        <v>488</v>
      </c>
      <c r="B87" s="13" t="s">
        <v>488</v>
      </c>
      <c r="C87" s="13" t="s">
        <v>488</v>
      </c>
      <c r="D87" s="13" t="s">
        <v>488</v>
      </c>
      <c r="E87" s="13" t="s">
        <v>300</v>
      </c>
      <c r="F87" s="13" t="s">
        <v>214</v>
      </c>
      <c r="G87" s="13"/>
      <c r="H87" s="13" t="s">
        <v>489</v>
      </c>
      <c r="I87" s="13"/>
      <c r="J87" s="13"/>
      <c r="K87" s="13" t="s">
        <v>490</v>
      </c>
      <c r="L87" s="13" t="s">
        <v>287</v>
      </c>
      <c r="M87" s="13" t="s">
        <v>218</v>
      </c>
      <c r="N87" s="13" t="s">
        <v>491</v>
      </c>
      <c r="O87" s="7"/>
    </row>
    <row r="88" s="3" customFormat="1" customHeight="1" spans="1:15">
      <c r="A88" s="13" t="s">
        <v>492</v>
      </c>
      <c r="B88" s="13" t="s">
        <v>492</v>
      </c>
      <c r="C88" s="13" t="s">
        <v>492</v>
      </c>
      <c r="D88" s="13" t="s">
        <v>492</v>
      </c>
      <c r="E88" s="13" t="s">
        <v>300</v>
      </c>
      <c r="F88" s="13" t="s">
        <v>214</v>
      </c>
      <c r="G88" s="13"/>
      <c r="H88" s="13" t="s">
        <v>493</v>
      </c>
      <c r="I88" s="13"/>
      <c r="J88" s="13"/>
      <c r="K88" s="13" t="s">
        <v>490</v>
      </c>
      <c r="L88" s="13" t="s">
        <v>287</v>
      </c>
      <c r="M88" s="13" t="s">
        <v>218</v>
      </c>
      <c r="N88" s="13" t="s">
        <v>494</v>
      </c>
      <c r="O88" s="7"/>
    </row>
    <row r="89" s="3" customFormat="1" customHeight="1" spans="1:15">
      <c r="A89" s="13" t="s">
        <v>495</v>
      </c>
      <c r="B89" s="13" t="s">
        <v>495</v>
      </c>
      <c r="C89" s="13" t="s">
        <v>495</v>
      </c>
      <c r="D89" s="13" t="s">
        <v>495</v>
      </c>
      <c r="E89" s="13" t="s">
        <v>300</v>
      </c>
      <c r="F89" s="13" t="s">
        <v>214</v>
      </c>
      <c r="G89" s="13"/>
      <c r="H89" s="13" t="s">
        <v>496</v>
      </c>
      <c r="I89" s="13"/>
      <c r="J89" s="13"/>
      <c r="K89" s="13" t="s">
        <v>497</v>
      </c>
      <c r="L89" s="13" t="s">
        <v>287</v>
      </c>
      <c r="M89" s="13" t="s">
        <v>218</v>
      </c>
      <c r="N89" s="13" t="s">
        <v>498</v>
      </c>
      <c r="O89" s="7"/>
    </row>
    <row r="90" s="3" customFormat="1" customHeight="1" spans="1:15">
      <c r="A90" s="13" t="s">
        <v>499</v>
      </c>
      <c r="B90" s="13" t="s">
        <v>499</v>
      </c>
      <c r="C90" s="13" t="s">
        <v>499</v>
      </c>
      <c r="D90" s="13" t="s">
        <v>499</v>
      </c>
      <c r="E90" s="13" t="s">
        <v>300</v>
      </c>
      <c r="F90" s="13" t="s">
        <v>214</v>
      </c>
      <c r="G90" s="13"/>
      <c r="H90" s="13" t="s">
        <v>500</v>
      </c>
      <c r="I90" s="13"/>
      <c r="J90" s="13"/>
      <c r="K90" s="13" t="s">
        <v>501</v>
      </c>
      <c r="L90" s="13" t="s">
        <v>287</v>
      </c>
      <c r="M90" s="13" t="s">
        <v>218</v>
      </c>
      <c r="N90" s="13" t="s">
        <v>502</v>
      </c>
      <c r="O90" s="7"/>
    </row>
    <row r="91" s="3" customFormat="1" customHeight="1" spans="1:15">
      <c r="A91" s="13" t="s">
        <v>503</v>
      </c>
      <c r="B91" s="13" t="s">
        <v>503</v>
      </c>
      <c r="C91" s="13" t="s">
        <v>503</v>
      </c>
      <c r="D91" s="13" t="s">
        <v>503</v>
      </c>
      <c r="E91" s="13" t="s">
        <v>300</v>
      </c>
      <c r="F91" s="13" t="s">
        <v>214</v>
      </c>
      <c r="G91" s="13"/>
      <c r="H91" s="13" t="s">
        <v>504</v>
      </c>
      <c r="I91" s="13"/>
      <c r="J91" s="13"/>
      <c r="K91" s="13" t="s">
        <v>505</v>
      </c>
      <c r="L91" s="13" t="s">
        <v>282</v>
      </c>
      <c r="M91" s="13" t="s">
        <v>218</v>
      </c>
      <c r="N91" s="13" t="s">
        <v>506</v>
      </c>
      <c r="O91" s="7"/>
    </row>
    <row r="92" s="3" customFormat="1" customHeight="1" spans="1:15">
      <c r="A92" s="13" t="s">
        <v>507</v>
      </c>
      <c r="B92" s="13" t="s">
        <v>507</v>
      </c>
      <c r="C92" s="13" t="s">
        <v>507</v>
      </c>
      <c r="D92" s="13" t="s">
        <v>507</v>
      </c>
      <c r="E92" s="13" t="s">
        <v>300</v>
      </c>
      <c r="F92" s="13" t="s">
        <v>214</v>
      </c>
      <c r="G92" s="13"/>
      <c r="H92" s="13" t="s">
        <v>508</v>
      </c>
      <c r="I92" s="13"/>
      <c r="J92" s="13"/>
      <c r="K92" s="13" t="s">
        <v>505</v>
      </c>
      <c r="L92" s="13" t="s">
        <v>282</v>
      </c>
      <c r="M92" s="13" t="s">
        <v>218</v>
      </c>
      <c r="N92" s="13" t="s">
        <v>509</v>
      </c>
      <c r="O92" s="7"/>
    </row>
    <row r="93" s="3" customFormat="1" customHeight="1" spans="1:15">
      <c r="A93" s="13" t="s">
        <v>510</v>
      </c>
      <c r="B93" s="13" t="s">
        <v>510</v>
      </c>
      <c r="C93" s="13" t="s">
        <v>510</v>
      </c>
      <c r="D93" s="13" t="s">
        <v>510</v>
      </c>
      <c r="E93" s="13" t="s">
        <v>300</v>
      </c>
      <c r="F93" s="13" t="s">
        <v>214</v>
      </c>
      <c r="G93" s="13"/>
      <c r="H93" s="13" t="s">
        <v>504</v>
      </c>
      <c r="I93" s="13"/>
      <c r="J93" s="13"/>
      <c r="K93" s="13" t="s">
        <v>505</v>
      </c>
      <c r="L93" s="13" t="s">
        <v>282</v>
      </c>
      <c r="M93" s="13" t="s">
        <v>218</v>
      </c>
      <c r="N93" s="13" t="s">
        <v>511</v>
      </c>
      <c r="O93" s="7"/>
    </row>
    <row r="94" s="3" customFormat="1" customHeight="1" spans="1:15">
      <c r="A94" s="13" t="s">
        <v>512</v>
      </c>
      <c r="B94" s="13" t="s">
        <v>512</v>
      </c>
      <c r="C94" s="13" t="s">
        <v>512</v>
      </c>
      <c r="D94" s="13" t="s">
        <v>512</v>
      </c>
      <c r="E94" s="13" t="s">
        <v>300</v>
      </c>
      <c r="F94" s="13" t="s">
        <v>214</v>
      </c>
      <c r="G94" s="13"/>
      <c r="H94" s="13" t="s">
        <v>513</v>
      </c>
      <c r="I94" s="13"/>
      <c r="J94" s="13"/>
      <c r="K94" s="13" t="s">
        <v>514</v>
      </c>
      <c r="L94" s="13" t="s">
        <v>282</v>
      </c>
      <c r="M94" s="13" t="s">
        <v>218</v>
      </c>
      <c r="N94" s="13" t="s">
        <v>515</v>
      </c>
      <c r="O94" s="7"/>
    </row>
    <row r="95" s="3" customFormat="1" customHeight="1" spans="1:15">
      <c r="A95" s="13" t="s">
        <v>516</v>
      </c>
      <c r="B95" s="13" t="s">
        <v>516</v>
      </c>
      <c r="C95" s="13" t="s">
        <v>516</v>
      </c>
      <c r="D95" s="13" t="s">
        <v>516</v>
      </c>
      <c r="E95" s="13" t="s">
        <v>300</v>
      </c>
      <c r="F95" s="13" t="s">
        <v>214</v>
      </c>
      <c r="G95" s="13"/>
      <c r="H95" s="13" t="s">
        <v>517</v>
      </c>
      <c r="I95" s="13"/>
      <c r="J95" s="13"/>
      <c r="K95" s="13" t="s">
        <v>518</v>
      </c>
      <c r="L95" s="13" t="s">
        <v>282</v>
      </c>
      <c r="M95" s="13" t="s">
        <v>218</v>
      </c>
      <c r="N95" s="13" t="s">
        <v>519</v>
      </c>
      <c r="O95" s="7"/>
    </row>
    <row r="96" s="3" customFormat="1" customHeight="1" spans="1:15">
      <c r="A96" s="13" t="s">
        <v>520</v>
      </c>
      <c r="B96" s="13" t="s">
        <v>520</v>
      </c>
      <c r="C96" s="13" t="s">
        <v>520</v>
      </c>
      <c r="D96" s="13" t="s">
        <v>520</v>
      </c>
      <c r="E96" s="13" t="s">
        <v>300</v>
      </c>
      <c r="F96" s="13" t="s">
        <v>214</v>
      </c>
      <c r="G96" s="13"/>
      <c r="H96" s="13" t="s">
        <v>521</v>
      </c>
      <c r="I96" s="13"/>
      <c r="J96" s="13"/>
      <c r="K96" s="13" t="s">
        <v>522</v>
      </c>
      <c r="L96" s="13" t="s">
        <v>264</v>
      </c>
      <c r="M96" s="13" t="s">
        <v>218</v>
      </c>
      <c r="N96" s="13" t="s">
        <v>523</v>
      </c>
      <c r="O96" s="7"/>
    </row>
    <row r="97" s="3" customFormat="1" customHeight="1" spans="1:15">
      <c r="A97" s="13" t="s">
        <v>524</v>
      </c>
      <c r="B97" s="13" t="s">
        <v>524</v>
      </c>
      <c r="C97" s="13" t="s">
        <v>524</v>
      </c>
      <c r="D97" s="13" t="s">
        <v>524</v>
      </c>
      <c r="E97" s="13" t="s">
        <v>300</v>
      </c>
      <c r="F97" s="13" t="s">
        <v>214</v>
      </c>
      <c r="G97" s="13"/>
      <c r="H97" s="13" t="s">
        <v>525</v>
      </c>
      <c r="I97" s="13"/>
      <c r="J97" s="13"/>
      <c r="K97" s="13" t="s">
        <v>526</v>
      </c>
      <c r="L97" s="13" t="s">
        <v>476</v>
      </c>
      <c r="M97" s="13" t="s">
        <v>218</v>
      </c>
      <c r="N97" s="13" t="s">
        <v>527</v>
      </c>
      <c r="O97" s="7"/>
    </row>
    <row r="98" s="3" customFormat="1" customHeight="1" spans="1:15">
      <c r="A98" s="13" t="s">
        <v>528</v>
      </c>
      <c r="B98" s="13" t="s">
        <v>528</v>
      </c>
      <c r="C98" s="13" t="s">
        <v>528</v>
      </c>
      <c r="D98" s="13" t="s">
        <v>528</v>
      </c>
      <c r="E98" s="13" t="s">
        <v>300</v>
      </c>
      <c r="F98" s="13" t="s">
        <v>214</v>
      </c>
      <c r="G98" s="13"/>
      <c r="H98" s="13" t="s">
        <v>529</v>
      </c>
      <c r="I98" s="13"/>
      <c r="J98" s="13"/>
      <c r="K98" s="13" t="s">
        <v>530</v>
      </c>
      <c r="L98" s="13" t="s">
        <v>268</v>
      </c>
      <c r="M98" s="13" t="s">
        <v>218</v>
      </c>
      <c r="N98" s="13" t="s">
        <v>531</v>
      </c>
      <c r="O98" s="7"/>
    </row>
    <row r="99" s="3" customFormat="1" customHeight="1" spans="1:15">
      <c r="A99" s="13" t="s">
        <v>532</v>
      </c>
      <c r="B99" s="13" t="s">
        <v>532</v>
      </c>
      <c r="C99" s="13" t="s">
        <v>532</v>
      </c>
      <c r="D99" s="13" t="s">
        <v>532</v>
      </c>
      <c r="E99" s="13" t="s">
        <v>300</v>
      </c>
      <c r="F99" s="13" t="s">
        <v>214</v>
      </c>
      <c r="G99" s="13"/>
      <c r="H99" s="13" t="s">
        <v>533</v>
      </c>
      <c r="I99" s="13"/>
      <c r="J99" s="13"/>
      <c r="K99" s="13" t="s">
        <v>534</v>
      </c>
      <c r="L99" s="13" t="s">
        <v>268</v>
      </c>
      <c r="M99" s="13" t="s">
        <v>218</v>
      </c>
      <c r="N99" s="13" t="s">
        <v>535</v>
      </c>
      <c r="O99" s="7"/>
    </row>
    <row r="100" s="3" customFormat="1" customHeight="1" spans="1:15">
      <c r="A100" s="13" t="s">
        <v>536</v>
      </c>
      <c r="B100" s="13" t="s">
        <v>536</v>
      </c>
      <c r="C100" s="13" t="s">
        <v>536</v>
      </c>
      <c r="D100" s="13" t="s">
        <v>536</v>
      </c>
      <c r="E100" s="13" t="s">
        <v>300</v>
      </c>
      <c r="F100" s="13" t="s">
        <v>214</v>
      </c>
      <c r="G100" s="13"/>
      <c r="H100" s="13" t="s">
        <v>537</v>
      </c>
      <c r="I100" s="13"/>
      <c r="J100" s="13"/>
      <c r="K100" s="13" t="s">
        <v>538</v>
      </c>
      <c r="L100" s="13" t="s">
        <v>268</v>
      </c>
      <c r="M100" s="13" t="s">
        <v>218</v>
      </c>
      <c r="N100" s="13" t="s">
        <v>539</v>
      </c>
      <c r="O100" s="7"/>
    </row>
    <row r="101" s="3" customFormat="1" customHeight="1" spans="1:15">
      <c r="A101" s="13" t="s">
        <v>540</v>
      </c>
      <c r="B101" s="13" t="s">
        <v>540</v>
      </c>
      <c r="C101" s="13" t="s">
        <v>540</v>
      </c>
      <c r="D101" s="13" t="s">
        <v>540</v>
      </c>
      <c r="E101" s="13" t="s">
        <v>300</v>
      </c>
      <c r="F101" s="13" t="s">
        <v>214</v>
      </c>
      <c r="G101" s="13"/>
      <c r="H101" s="13" t="s">
        <v>541</v>
      </c>
      <c r="I101" s="13"/>
      <c r="J101" s="13"/>
      <c r="K101" s="13" t="s">
        <v>418</v>
      </c>
      <c r="L101" s="13" t="s">
        <v>268</v>
      </c>
      <c r="M101" s="13" t="s">
        <v>218</v>
      </c>
      <c r="N101" s="13" t="s">
        <v>542</v>
      </c>
      <c r="O101" s="7"/>
    </row>
    <row r="102" s="3" customFormat="1" customHeight="1" spans="1:15">
      <c r="A102" s="13" t="s">
        <v>543</v>
      </c>
      <c r="B102" s="13" t="s">
        <v>543</v>
      </c>
      <c r="C102" s="13" t="s">
        <v>543</v>
      </c>
      <c r="D102" s="13" t="s">
        <v>543</v>
      </c>
      <c r="E102" s="13" t="s">
        <v>300</v>
      </c>
      <c r="F102" s="13" t="s">
        <v>214</v>
      </c>
      <c r="G102" s="13"/>
      <c r="H102" s="13" t="s">
        <v>544</v>
      </c>
      <c r="I102" s="13"/>
      <c r="J102" s="13"/>
      <c r="K102" s="13" t="s">
        <v>545</v>
      </c>
      <c r="L102" s="13" t="s">
        <v>287</v>
      </c>
      <c r="M102" s="13" t="s">
        <v>218</v>
      </c>
      <c r="N102" s="13" t="s">
        <v>546</v>
      </c>
      <c r="O102" s="7"/>
    </row>
    <row r="103" s="3" customFormat="1" customHeight="1" spans="1:15">
      <c r="A103" s="13" t="s">
        <v>547</v>
      </c>
      <c r="B103" s="13" t="s">
        <v>547</v>
      </c>
      <c r="C103" s="13" t="s">
        <v>547</v>
      </c>
      <c r="D103" s="13" t="s">
        <v>547</v>
      </c>
      <c r="E103" s="13" t="s">
        <v>300</v>
      </c>
      <c r="F103" s="13" t="s">
        <v>214</v>
      </c>
      <c r="G103" s="13"/>
      <c r="H103" s="13" t="s">
        <v>548</v>
      </c>
      <c r="I103" s="13"/>
      <c r="J103" s="13"/>
      <c r="K103" s="13" t="s">
        <v>549</v>
      </c>
      <c r="L103" s="13" t="s">
        <v>287</v>
      </c>
      <c r="M103" s="13" t="s">
        <v>218</v>
      </c>
      <c r="N103" s="13" t="s">
        <v>550</v>
      </c>
      <c r="O103" s="7"/>
    </row>
    <row r="104" s="3" customFormat="1" customHeight="1" spans="1:15">
      <c r="A104" s="13" t="s">
        <v>551</v>
      </c>
      <c r="B104" s="13" t="s">
        <v>551</v>
      </c>
      <c r="C104" s="13" t="s">
        <v>551</v>
      </c>
      <c r="D104" s="13" t="s">
        <v>551</v>
      </c>
      <c r="E104" s="13" t="s">
        <v>300</v>
      </c>
      <c r="F104" s="13" t="s">
        <v>214</v>
      </c>
      <c r="G104" s="13"/>
      <c r="H104" s="13" t="s">
        <v>552</v>
      </c>
      <c r="I104" s="13"/>
      <c r="J104" s="13"/>
      <c r="K104" s="13" t="s">
        <v>553</v>
      </c>
      <c r="L104" s="13" t="s">
        <v>224</v>
      </c>
      <c r="M104" s="13" t="s">
        <v>218</v>
      </c>
      <c r="N104" s="13" t="s">
        <v>554</v>
      </c>
      <c r="O104" s="7"/>
    </row>
    <row r="105" s="3" customFormat="1" customHeight="1" spans="1:15">
      <c r="A105" s="13" t="s">
        <v>555</v>
      </c>
      <c r="B105" s="13" t="s">
        <v>555</v>
      </c>
      <c r="C105" s="13" t="s">
        <v>555</v>
      </c>
      <c r="D105" s="13" t="s">
        <v>555</v>
      </c>
      <c r="E105" s="13" t="s">
        <v>300</v>
      </c>
      <c r="F105" s="13" t="s">
        <v>214</v>
      </c>
      <c r="G105" s="13"/>
      <c r="H105" s="13" t="s">
        <v>556</v>
      </c>
      <c r="I105" s="13"/>
      <c r="J105" s="13"/>
      <c r="K105" s="13" t="s">
        <v>557</v>
      </c>
      <c r="L105" s="13" t="s">
        <v>558</v>
      </c>
      <c r="M105" s="13" t="s">
        <v>218</v>
      </c>
      <c r="N105" s="13" t="s">
        <v>559</v>
      </c>
      <c r="O105" s="7"/>
    </row>
    <row r="106" s="3" customFormat="1" customHeight="1" spans="1:15">
      <c r="A106" s="13" t="s">
        <v>560</v>
      </c>
      <c r="B106" s="13" t="s">
        <v>560</v>
      </c>
      <c r="C106" s="13" t="s">
        <v>560</v>
      </c>
      <c r="D106" s="13" t="s">
        <v>560</v>
      </c>
      <c r="E106" s="13" t="s">
        <v>300</v>
      </c>
      <c r="F106" s="13" t="s">
        <v>214</v>
      </c>
      <c r="G106" s="13"/>
      <c r="H106" s="13" t="s">
        <v>561</v>
      </c>
      <c r="I106" s="13"/>
      <c r="J106" s="13"/>
      <c r="K106" s="13" t="s">
        <v>557</v>
      </c>
      <c r="L106" s="13" t="s">
        <v>558</v>
      </c>
      <c r="M106" s="13" t="s">
        <v>218</v>
      </c>
      <c r="N106" s="13" t="s">
        <v>562</v>
      </c>
      <c r="O106" s="7"/>
    </row>
    <row r="107" s="3" customFormat="1" customHeight="1" spans="1:15">
      <c r="A107" s="13" t="s">
        <v>563</v>
      </c>
      <c r="B107" s="13" t="s">
        <v>563</v>
      </c>
      <c r="C107" s="13" t="s">
        <v>563</v>
      </c>
      <c r="D107" s="13" t="s">
        <v>563</v>
      </c>
      <c r="E107" s="13" t="s">
        <v>300</v>
      </c>
      <c r="F107" s="13" t="s">
        <v>214</v>
      </c>
      <c r="G107" s="13"/>
      <c r="H107" s="13" t="s">
        <v>564</v>
      </c>
      <c r="I107" s="13"/>
      <c r="J107" s="13"/>
      <c r="K107" s="13" t="s">
        <v>565</v>
      </c>
      <c r="L107" s="13" t="s">
        <v>558</v>
      </c>
      <c r="M107" s="13" t="s">
        <v>218</v>
      </c>
      <c r="N107" s="13" t="s">
        <v>566</v>
      </c>
      <c r="O107" s="7"/>
    </row>
    <row r="108" s="3" customFormat="1" customHeight="1" spans="1:15">
      <c r="A108" s="13" t="s">
        <v>567</v>
      </c>
      <c r="B108" s="13" t="s">
        <v>567</v>
      </c>
      <c r="C108" s="13" t="s">
        <v>567</v>
      </c>
      <c r="D108" s="13" t="s">
        <v>567</v>
      </c>
      <c r="E108" s="13" t="s">
        <v>300</v>
      </c>
      <c r="F108" s="13" t="s">
        <v>214</v>
      </c>
      <c r="G108" s="13"/>
      <c r="H108" s="13" t="s">
        <v>568</v>
      </c>
      <c r="I108" s="13"/>
      <c r="J108" s="13"/>
      <c r="K108" s="13" t="s">
        <v>569</v>
      </c>
      <c r="L108" s="13" t="s">
        <v>558</v>
      </c>
      <c r="M108" s="13" t="s">
        <v>218</v>
      </c>
      <c r="N108" s="13" t="s">
        <v>570</v>
      </c>
      <c r="O108" s="7"/>
    </row>
    <row r="109" s="3" customFormat="1" customHeight="1" spans="1:15">
      <c r="A109" s="13" t="s">
        <v>571</v>
      </c>
      <c r="B109" s="13" t="s">
        <v>571</v>
      </c>
      <c r="C109" s="13" t="s">
        <v>571</v>
      </c>
      <c r="D109" s="13" t="s">
        <v>571</v>
      </c>
      <c r="E109" s="13" t="s">
        <v>300</v>
      </c>
      <c r="F109" s="13" t="s">
        <v>214</v>
      </c>
      <c r="G109" s="13"/>
      <c r="H109" s="13" t="s">
        <v>572</v>
      </c>
      <c r="I109" s="13"/>
      <c r="J109" s="13"/>
      <c r="K109" s="13" t="s">
        <v>573</v>
      </c>
      <c r="L109" s="13" t="s">
        <v>382</v>
      </c>
      <c r="M109" s="13" t="s">
        <v>218</v>
      </c>
      <c r="N109" s="13" t="s">
        <v>574</v>
      </c>
      <c r="O109" s="7"/>
    </row>
    <row r="110" s="3" customFormat="1" customHeight="1" spans="1:15">
      <c r="A110" s="13" t="s">
        <v>575</v>
      </c>
      <c r="B110" s="13" t="s">
        <v>575</v>
      </c>
      <c r="C110" s="13" t="s">
        <v>575</v>
      </c>
      <c r="D110" s="13" t="s">
        <v>575</v>
      </c>
      <c r="E110" s="13" t="s">
        <v>300</v>
      </c>
      <c r="F110" s="13" t="s">
        <v>214</v>
      </c>
      <c r="G110" s="13"/>
      <c r="H110" s="13" t="s">
        <v>576</v>
      </c>
      <c r="I110" s="13"/>
      <c r="J110" s="13"/>
      <c r="K110" s="13" t="s">
        <v>577</v>
      </c>
      <c r="L110" s="13" t="s">
        <v>382</v>
      </c>
      <c r="M110" s="13" t="s">
        <v>218</v>
      </c>
      <c r="N110" s="13" t="s">
        <v>578</v>
      </c>
      <c r="O110" s="7"/>
    </row>
    <row r="111" s="3" customFormat="1" customHeight="1" spans="1:15">
      <c r="A111" s="13" t="s">
        <v>579</v>
      </c>
      <c r="B111" s="13" t="s">
        <v>579</v>
      </c>
      <c r="C111" s="13" t="s">
        <v>579</v>
      </c>
      <c r="D111" s="13" t="s">
        <v>579</v>
      </c>
      <c r="E111" s="13" t="s">
        <v>300</v>
      </c>
      <c r="F111" s="13" t="s">
        <v>214</v>
      </c>
      <c r="G111" s="13"/>
      <c r="H111" s="13" t="s">
        <v>580</v>
      </c>
      <c r="I111" s="13"/>
      <c r="J111" s="13"/>
      <c r="K111" s="13" t="s">
        <v>581</v>
      </c>
      <c r="L111" s="13" t="s">
        <v>382</v>
      </c>
      <c r="M111" s="13" t="s">
        <v>218</v>
      </c>
      <c r="N111" s="13" t="s">
        <v>582</v>
      </c>
      <c r="O111" s="7"/>
    </row>
    <row r="112" s="3" customFormat="1" customHeight="1" spans="1:15">
      <c r="A112" s="13" t="s">
        <v>583</v>
      </c>
      <c r="B112" s="13" t="s">
        <v>583</v>
      </c>
      <c r="C112" s="13" t="s">
        <v>583</v>
      </c>
      <c r="D112" s="13" t="s">
        <v>583</v>
      </c>
      <c r="E112" s="13" t="s">
        <v>300</v>
      </c>
      <c r="F112" s="13" t="s">
        <v>214</v>
      </c>
      <c r="G112" s="13"/>
      <c r="H112" s="13" t="s">
        <v>584</v>
      </c>
      <c r="I112" s="13"/>
      <c r="J112" s="13"/>
      <c r="K112" s="13" t="s">
        <v>581</v>
      </c>
      <c r="L112" s="13" t="s">
        <v>382</v>
      </c>
      <c r="M112" s="13" t="s">
        <v>218</v>
      </c>
      <c r="N112" s="13" t="s">
        <v>582</v>
      </c>
      <c r="O112" s="7"/>
    </row>
    <row r="113" s="3" customFormat="1" customHeight="1" spans="1:15">
      <c r="A113" s="13" t="s">
        <v>585</v>
      </c>
      <c r="B113" s="13" t="s">
        <v>585</v>
      </c>
      <c r="C113" s="13" t="s">
        <v>585</v>
      </c>
      <c r="D113" s="13" t="s">
        <v>585</v>
      </c>
      <c r="E113" s="13" t="s">
        <v>300</v>
      </c>
      <c r="F113" s="13" t="s">
        <v>214</v>
      </c>
      <c r="G113" s="13"/>
      <c r="H113" s="13" t="s">
        <v>586</v>
      </c>
      <c r="I113" s="13"/>
      <c r="J113" s="13"/>
      <c r="K113" s="13" t="s">
        <v>573</v>
      </c>
      <c r="L113" s="13" t="s">
        <v>382</v>
      </c>
      <c r="M113" s="13" t="s">
        <v>218</v>
      </c>
      <c r="N113" s="13" t="s">
        <v>574</v>
      </c>
      <c r="O113" s="7"/>
    </row>
    <row r="114" s="3" customFormat="1" customHeight="1" spans="1:15">
      <c r="A114" s="13" t="s">
        <v>587</v>
      </c>
      <c r="B114" s="13" t="s">
        <v>587</v>
      </c>
      <c r="C114" s="13" t="s">
        <v>587</v>
      </c>
      <c r="D114" s="13" t="s">
        <v>587</v>
      </c>
      <c r="E114" s="13" t="s">
        <v>300</v>
      </c>
      <c r="F114" s="13" t="s">
        <v>214</v>
      </c>
      <c r="G114" s="13"/>
      <c r="H114" s="13" t="s">
        <v>588</v>
      </c>
      <c r="I114" s="13"/>
      <c r="J114" s="13"/>
      <c r="K114" s="13" t="s">
        <v>589</v>
      </c>
      <c r="L114" s="13" t="s">
        <v>217</v>
      </c>
      <c r="M114" s="13" t="s">
        <v>218</v>
      </c>
      <c r="N114" s="13" t="s">
        <v>590</v>
      </c>
      <c r="O114" s="7"/>
    </row>
    <row r="115" s="3" customFormat="1" customHeight="1" spans="1:15">
      <c r="A115" s="13" t="s">
        <v>591</v>
      </c>
      <c r="B115" s="13" t="s">
        <v>591</v>
      </c>
      <c r="C115" s="13" t="s">
        <v>591</v>
      </c>
      <c r="D115" s="13" t="s">
        <v>591</v>
      </c>
      <c r="E115" s="13" t="s">
        <v>300</v>
      </c>
      <c r="F115" s="55" t="s">
        <v>214</v>
      </c>
      <c r="G115" s="13"/>
      <c r="H115" s="13" t="s">
        <v>592</v>
      </c>
      <c r="I115" s="13"/>
      <c r="J115" s="13"/>
      <c r="K115" s="13" t="s">
        <v>593</v>
      </c>
      <c r="L115" s="13" t="s">
        <v>391</v>
      </c>
      <c r="M115" s="13" t="s">
        <v>218</v>
      </c>
      <c r="N115" s="13" t="s">
        <v>594</v>
      </c>
      <c r="O115" s="7"/>
    </row>
    <row r="116" s="3" customFormat="1" customHeight="1" spans="1:15">
      <c r="A116" s="13" t="s">
        <v>595</v>
      </c>
      <c r="B116" s="13" t="s">
        <v>595</v>
      </c>
      <c r="C116" s="13" t="s">
        <v>595</v>
      </c>
      <c r="D116" s="13" t="s">
        <v>595</v>
      </c>
      <c r="E116" s="13" t="s">
        <v>300</v>
      </c>
      <c r="F116" s="13" t="s">
        <v>214</v>
      </c>
      <c r="G116" s="13"/>
      <c r="H116" s="13" t="s">
        <v>596</v>
      </c>
      <c r="I116" s="13"/>
      <c r="J116" s="13"/>
      <c r="K116" s="13" t="s">
        <v>597</v>
      </c>
      <c r="L116" s="13" t="s">
        <v>386</v>
      </c>
      <c r="M116" s="13" t="s">
        <v>218</v>
      </c>
      <c r="N116" s="13" t="s">
        <v>598</v>
      </c>
      <c r="O116" s="7"/>
    </row>
    <row r="117" s="3" customFormat="1" customHeight="1" spans="1:15">
      <c r="A117" s="13" t="s">
        <v>599</v>
      </c>
      <c r="B117" s="13" t="s">
        <v>599</v>
      </c>
      <c r="C117" s="13" t="s">
        <v>599</v>
      </c>
      <c r="D117" s="13" t="s">
        <v>599</v>
      </c>
      <c r="E117" s="13" t="s">
        <v>300</v>
      </c>
      <c r="F117" s="13" t="s">
        <v>214</v>
      </c>
      <c r="G117" s="13"/>
      <c r="H117" s="13" t="s">
        <v>600</v>
      </c>
      <c r="I117" s="13"/>
      <c r="J117" s="13"/>
      <c r="K117" s="13" t="s">
        <v>597</v>
      </c>
      <c r="L117" s="13" t="s">
        <v>386</v>
      </c>
      <c r="M117" s="13" t="s">
        <v>218</v>
      </c>
      <c r="N117" s="13" t="s">
        <v>601</v>
      </c>
      <c r="O117" s="7"/>
    </row>
    <row r="118" s="3" customFormat="1" customHeight="1" spans="1:15">
      <c r="A118" s="13" t="s">
        <v>602</v>
      </c>
      <c r="B118" s="13" t="s">
        <v>602</v>
      </c>
      <c r="C118" s="13" t="s">
        <v>602</v>
      </c>
      <c r="D118" s="13" t="s">
        <v>602</v>
      </c>
      <c r="E118" s="13" t="s">
        <v>300</v>
      </c>
      <c r="F118" s="13" t="s">
        <v>214</v>
      </c>
      <c r="G118" s="13"/>
      <c r="H118" s="13" t="s">
        <v>603</v>
      </c>
      <c r="I118" s="13"/>
      <c r="J118" s="13"/>
      <c r="K118" s="13" t="s">
        <v>604</v>
      </c>
      <c r="L118" s="13" t="s">
        <v>386</v>
      </c>
      <c r="M118" s="13" t="s">
        <v>218</v>
      </c>
      <c r="N118" s="13" t="s">
        <v>605</v>
      </c>
      <c r="O118" s="7"/>
    </row>
    <row r="119" s="3" customFormat="1" customHeight="1" spans="1:15">
      <c r="A119" s="13" t="s">
        <v>606</v>
      </c>
      <c r="B119" s="13" t="s">
        <v>606</v>
      </c>
      <c r="C119" s="13" t="s">
        <v>606</v>
      </c>
      <c r="D119" s="13" t="s">
        <v>606</v>
      </c>
      <c r="E119" s="13" t="s">
        <v>300</v>
      </c>
      <c r="F119" s="13" t="s">
        <v>214</v>
      </c>
      <c r="G119" s="13"/>
      <c r="H119" s="13" t="s">
        <v>607</v>
      </c>
      <c r="I119" s="13"/>
      <c r="J119" s="13"/>
      <c r="K119" s="13" t="s">
        <v>608</v>
      </c>
      <c r="L119" s="13" t="s">
        <v>386</v>
      </c>
      <c r="M119" s="13" t="s">
        <v>218</v>
      </c>
      <c r="N119" s="13" t="s">
        <v>609</v>
      </c>
      <c r="O119" s="7"/>
    </row>
    <row r="120" s="3" customFormat="1" customHeight="1" spans="1:15">
      <c r="A120" s="13" t="s">
        <v>610</v>
      </c>
      <c r="B120" s="13" t="s">
        <v>610</v>
      </c>
      <c r="C120" s="13" t="s">
        <v>610</v>
      </c>
      <c r="D120" s="13" t="s">
        <v>610</v>
      </c>
      <c r="E120" s="13" t="s">
        <v>300</v>
      </c>
      <c r="F120" s="13" t="s">
        <v>214</v>
      </c>
      <c r="G120" s="13"/>
      <c r="H120" s="13" t="s">
        <v>611</v>
      </c>
      <c r="I120" s="13"/>
      <c r="J120" s="13"/>
      <c r="K120" s="13" t="s">
        <v>612</v>
      </c>
      <c r="L120" s="13" t="s">
        <v>613</v>
      </c>
      <c r="M120" s="13" t="s">
        <v>218</v>
      </c>
      <c r="N120" s="13" t="s">
        <v>614</v>
      </c>
      <c r="O120" s="7"/>
    </row>
    <row r="121" s="3" customFormat="1" customHeight="1" spans="1:15">
      <c r="A121" s="13" t="s">
        <v>615</v>
      </c>
      <c r="B121" s="13" t="s">
        <v>615</v>
      </c>
      <c r="C121" s="13" t="s">
        <v>615</v>
      </c>
      <c r="D121" s="13" t="s">
        <v>615</v>
      </c>
      <c r="E121" s="13" t="s">
        <v>300</v>
      </c>
      <c r="F121" s="13" t="s">
        <v>214</v>
      </c>
      <c r="G121" s="13"/>
      <c r="H121" s="13" t="s">
        <v>616</v>
      </c>
      <c r="I121" s="13"/>
      <c r="J121" s="13"/>
      <c r="K121" s="13" t="s">
        <v>617</v>
      </c>
      <c r="L121" s="13" t="s">
        <v>618</v>
      </c>
      <c r="M121" s="13" t="s">
        <v>218</v>
      </c>
      <c r="N121" s="13" t="s">
        <v>619</v>
      </c>
      <c r="O121" s="7"/>
    </row>
    <row r="122" s="3" customFormat="1" customHeight="1" spans="1:15">
      <c r="A122" s="13" t="s">
        <v>620</v>
      </c>
      <c r="B122" s="13" t="s">
        <v>620</v>
      </c>
      <c r="C122" s="13" t="s">
        <v>620</v>
      </c>
      <c r="D122" s="13" t="s">
        <v>620</v>
      </c>
      <c r="E122" s="13" t="s">
        <v>300</v>
      </c>
      <c r="F122" s="13" t="s">
        <v>214</v>
      </c>
      <c r="G122" s="13"/>
      <c r="H122" s="13" t="s">
        <v>621</v>
      </c>
      <c r="I122" s="13"/>
      <c r="J122" s="13"/>
      <c r="K122" s="13" t="s">
        <v>622</v>
      </c>
      <c r="L122" s="13" t="s">
        <v>623</v>
      </c>
      <c r="M122" s="13" t="s">
        <v>218</v>
      </c>
      <c r="N122" s="13" t="s">
        <v>624</v>
      </c>
      <c r="O122" s="7"/>
    </row>
    <row r="123" s="3" customFormat="1" customHeight="1" spans="1:15">
      <c r="A123" s="13" t="s">
        <v>625</v>
      </c>
      <c r="B123" s="13" t="s">
        <v>625</v>
      </c>
      <c r="C123" s="13" t="s">
        <v>625</v>
      </c>
      <c r="D123" s="13" t="s">
        <v>625</v>
      </c>
      <c r="E123" s="13" t="s">
        <v>300</v>
      </c>
      <c r="F123" s="13" t="s">
        <v>214</v>
      </c>
      <c r="G123" s="13"/>
      <c r="H123" s="13" t="s">
        <v>626</v>
      </c>
      <c r="I123" s="13"/>
      <c r="J123" s="13"/>
      <c r="K123" s="13" t="s">
        <v>627</v>
      </c>
      <c r="L123" s="13" t="s">
        <v>623</v>
      </c>
      <c r="M123" s="13" t="s">
        <v>218</v>
      </c>
      <c r="N123" s="13" t="s">
        <v>624</v>
      </c>
      <c r="O123" s="7"/>
    </row>
    <row r="124" s="3" customFormat="1" customHeight="1" spans="1:15">
      <c r="A124" s="13" t="s">
        <v>628</v>
      </c>
      <c r="B124" s="13" t="s">
        <v>628</v>
      </c>
      <c r="C124" s="13" t="s">
        <v>628</v>
      </c>
      <c r="D124" s="13" t="s">
        <v>628</v>
      </c>
      <c r="E124" s="13" t="s">
        <v>300</v>
      </c>
      <c r="F124" s="55" t="s">
        <v>214</v>
      </c>
      <c r="G124" s="13"/>
      <c r="H124" s="13" t="s">
        <v>629</v>
      </c>
      <c r="I124" s="13"/>
      <c r="J124" s="13"/>
      <c r="K124" s="13" t="s">
        <v>630</v>
      </c>
      <c r="L124" s="13" t="s">
        <v>623</v>
      </c>
      <c r="M124" s="13" t="s">
        <v>218</v>
      </c>
      <c r="N124" s="13" t="s">
        <v>631</v>
      </c>
      <c r="O124" s="7"/>
    </row>
    <row r="125" s="3" customFormat="1" customHeight="1" spans="1:15">
      <c r="A125" s="13" t="s">
        <v>632</v>
      </c>
      <c r="B125" s="13" t="s">
        <v>632</v>
      </c>
      <c r="C125" s="13" t="s">
        <v>632</v>
      </c>
      <c r="D125" s="13" t="s">
        <v>632</v>
      </c>
      <c r="E125" s="13" t="s">
        <v>300</v>
      </c>
      <c r="F125" s="13" t="s">
        <v>214</v>
      </c>
      <c r="G125" s="13"/>
      <c r="H125" s="13" t="s">
        <v>633</v>
      </c>
      <c r="I125" s="13"/>
      <c r="J125" s="13"/>
      <c r="K125" s="13" t="s">
        <v>634</v>
      </c>
      <c r="L125" s="13" t="s">
        <v>343</v>
      </c>
      <c r="M125" s="13" t="s">
        <v>218</v>
      </c>
      <c r="N125" s="13" t="s">
        <v>635</v>
      </c>
      <c r="O125" s="7"/>
    </row>
    <row r="126" s="3" customFormat="1" customHeight="1" spans="1:15">
      <c r="A126" s="13" t="s">
        <v>636</v>
      </c>
      <c r="B126" s="13" t="s">
        <v>636</v>
      </c>
      <c r="C126" s="13" t="s">
        <v>636</v>
      </c>
      <c r="D126" s="13" t="s">
        <v>636</v>
      </c>
      <c r="E126" s="13" t="s">
        <v>300</v>
      </c>
      <c r="F126" s="13" t="s">
        <v>214</v>
      </c>
      <c r="G126" s="13"/>
      <c r="H126" s="13" t="s">
        <v>637</v>
      </c>
      <c r="I126" s="13"/>
      <c r="J126" s="13"/>
      <c r="K126" s="13" t="s">
        <v>638</v>
      </c>
      <c r="L126" s="13" t="s">
        <v>343</v>
      </c>
      <c r="M126" s="13" t="s">
        <v>218</v>
      </c>
      <c r="N126" s="13" t="s">
        <v>639</v>
      </c>
      <c r="O126" s="7"/>
    </row>
    <row r="127" s="3" customFormat="1" customHeight="1" spans="1:15">
      <c r="A127" s="13" t="s">
        <v>640</v>
      </c>
      <c r="B127" s="13" t="s">
        <v>640</v>
      </c>
      <c r="C127" s="13" t="s">
        <v>640</v>
      </c>
      <c r="D127" s="13" t="s">
        <v>640</v>
      </c>
      <c r="E127" s="13" t="s">
        <v>300</v>
      </c>
      <c r="F127" s="13" t="s">
        <v>214</v>
      </c>
      <c r="G127" s="13"/>
      <c r="H127" s="13" t="s">
        <v>641</v>
      </c>
      <c r="I127" s="13"/>
      <c r="J127" s="13"/>
      <c r="K127" s="13" t="s">
        <v>642</v>
      </c>
      <c r="L127" s="13" t="s">
        <v>307</v>
      </c>
      <c r="M127" s="13" t="s">
        <v>218</v>
      </c>
      <c r="N127" s="13" t="s">
        <v>643</v>
      </c>
      <c r="O127" s="7"/>
    </row>
    <row r="128" s="3" customFormat="1" customHeight="1" spans="1:15">
      <c r="A128" s="13" t="s">
        <v>644</v>
      </c>
      <c r="B128" s="13" t="s">
        <v>644</v>
      </c>
      <c r="C128" s="13" t="s">
        <v>644</v>
      </c>
      <c r="D128" s="13" t="s">
        <v>644</v>
      </c>
      <c r="E128" s="13" t="s">
        <v>300</v>
      </c>
      <c r="F128" s="13" t="s">
        <v>214</v>
      </c>
      <c r="G128" s="13"/>
      <c r="H128" s="13" t="s">
        <v>645</v>
      </c>
      <c r="I128" s="13"/>
      <c r="J128" s="13"/>
      <c r="K128" s="13" t="s">
        <v>646</v>
      </c>
      <c r="L128" s="13" t="s">
        <v>647</v>
      </c>
      <c r="M128" s="13" t="s">
        <v>218</v>
      </c>
      <c r="N128" s="13" t="s">
        <v>648</v>
      </c>
      <c r="O128" s="7"/>
    </row>
    <row r="129" s="3" customFormat="1" customHeight="1" spans="1:15">
      <c r="A129" s="13" t="s">
        <v>649</v>
      </c>
      <c r="B129" s="13" t="s">
        <v>649</v>
      </c>
      <c r="C129" s="13" t="s">
        <v>649</v>
      </c>
      <c r="D129" s="13" t="s">
        <v>649</v>
      </c>
      <c r="E129" s="13" t="s">
        <v>300</v>
      </c>
      <c r="F129" s="13" t="s">
        <v>214</v>
      </c>
      <c r="G129" s="13"/>
      <c r="H129" s="13" t="s">
        <v>650</v>
      </c>
      <c r="I129" s="13"/>
      <c r="J129" s="13"/>
      <c r="K129" s="13" t="s">
        <v>651</v>
      </c>
      <c r="L129" s="13" t="s">
        <v>386</v>
      </c>
      <c r="M129" s="13" t="s">
        <v>218</v>
      </c>
      <c r="N129" s="13" t="s">
        <v>652</v>
      </c>
      <c r="O129" s="7"/>
    </row>
    <row r="130" s="3" customFormat="1" customHeight="1" spans="1:15">
      <c r="A130" s="13" t="s">
        <v>653</v>
      </c>
      <c r="B130" s="13" t="s">
        <v>653</v>
      </c>
      <c r="C130" s="13" t="s">
        <v>653</v>
      </c>
      <c r="D130" s="13" t="s">
        <v>653</v>
      </c>
      <c r="E130" s="13" t="s">
        <v>300</v>
      </c>
      <c r="F130" s="13" t="s">
        <v>214</v>
      </c>
      <c r="G130" s="13"/>
      <c r="H130" s="13" t="s">
        <v>654</v>
      </c>
      <c r="I130" s="13"/>
      <c r="J130" s="13"/>
      <c r="K130" s="13" t="s">
        <v>655</v>
      </c>
      <c r="L130" s="13" t="s">
        <v>386</v>
      </c>
      <c r="M130" s="13" t="s">
        <v>218</v>
      </c>
      <c r="N130" s="13" t="s">
        <v>656</v>
      </c>
      <c r="O130" s="7"/>
    </row>
    <row r="131" s="3" customFormat="1" customHeight="1" spans="1:15">
      <c r="A131" s="13" t="s">
        <v>657</v>
      </c>
      <c r="B131" s="13" t="s">
        <v>657</v>
      </c>
      <c r="C131" s="13" t="s">
        <v>657</v>
      </c>
      <c r="D131" s="13" t="s">
        <v>657</v>
      </c>
      <c r="E131" s="13" t="s">
        <v>300</v>
      </c>
      <c r="F131" s="13" t="s">
        <v>214</v>
      </c>
      <c r="G131" s="13"/>
      <c r="H131" s="13" t="s">
        <v>658</v>
      </c>
      <c r="I131" s="13"/>
      <c r="J131" s="13"/>
      <c r="K131" s="13" t="s">
        <v>659</v>
      </c>
      <c r="L131" s="13" t="s">
        <v>264</v>
      </c>
      <c r="M131" s="13" t="s">
        <v>218</v>
      </c>
      <c r="N131" s="13" t="s">
        <v>660</v>
      </c>
      <c r="O131" s="7"/>
    </row>
    <row r="132" s="3" customFormat="1" customHeight="1" spans="1:15">
      <c r="A132" s="13" t="s">
        <v>661</v>
      </c>
      <c r="B132" s="13" t="s">
        <v>661</v>
      </c>
      <c r="C132" s="13" t="s">
        <v>661</v>
      </c>
      <c r="D132" s="13" t="s">
        <v>661</v>
      </c>
      <c r="E132" s="13" t="s">
        <v>300</v>
      </c>
      <c r="F132" s="13" t="s">
        <v>214</v>
      </c>
      <c r="G132" s="13"/>
      <c r="H132" s="13" t="s">
        <v>662</v>
      </c>
      <c r="I132" s="13"/>
      <c r="J132" s="13"/>
      <c r="K132" s="13" t="s">
        <v>663</v>
      </c>
      <c r="L132" s="13" t="s">
        <v>264</v>
      </c>
      <c r="M132" s="13" t="s">
        <v>218</v>
      </c>
      <c r="N132" s="13" t="s">
        <v>664</v>
      </c>
      <c r="O132" s="7"/>
    </row>
    <row r="133" s="3" customFormat="1" customHeight="1" spans="1:15">
      <c r="A133" s="13" t="s">
        <v>665</v>
      </c>
      <c r="B133" s="13" t="s">
        <v>665</v>
      </c>
      <c r="C133" s="13" t="s">
        <v>665</v>
      </c>
      <c r="D133" s="13" t="s">
        <v>665</v>
      </c>
      <c r="E133" s="13" t="s">
        <v>300</v>
      </c>
      <c r="F133" s="13" t="s">
        <v>214</v>
      </c>
      <c r="G133" s="13"/>
      <c r="H133" s="13" t="s">
        <v>666</v>
      </c>
      <c r="I133" s="13"/>
      <c r="J133" s="13"/>
      <c r="K133" s="13" t="s">
        <v>667</v>
      </c>
      <c r="L133" s="13" t="s">
        <v>414</v>
      </c>
      <c r="M133" s="13" t="s">
        <v>218</v>
      </c>
      <c r="N133" s="13" t="s">
        <v>668</v>
      </c>
      <c r="O133" s="7"/>
    </row>
    <row r="134" s="3" customFormat="1" customHeight="1" spans="1:15">
      <c r="A134" s="13" t="s">
        <v>669</v>
      </c>
      <c r="B134" s="13" t="s">
        <v>669</v>
      </c>
      <c r="C134" s="13" t="s">
        <v>669</v>
      </c>
      <c r="D134" s="13" t="s">
        <v>669</v>
      </c>
      <c r="E134" s="13" t="s">
        <v>300</v>
      </c>
      <c r="F134" s="13" t="s">
        <v>214</v>
      </c>
      <c r="G134" s="13"/>
      <c r="H134" s="13" t="s">
        <v>670</v>
      </c>
      <c r="I134" s="13"/>
      <c r="J134" s="13"/>
      <c r="K134" s="13" t="s">
        <v>671</v>
      </c>
      <c r="L134" s="13" t="s">
        <v>414</v>
      </c>
      <c r="M134" s="13" t="s">
        <v>218</v>
      </c>
      <c r="N134" s="13" t="s">
        <v>672</v>
      </c>
      <c r="O134" s="7"/>
    </row>
    <row r="135" s="3" customFormat="1" customHeight="1" spans="1:15">
      <c r="A135" s="13" t="s">
        <v>673</v>
      </c>
      <c r="B135" s="13" t="s">
        <v>673</v>
      </c>
      <c r="C135" s="13" t="s">
        <v>673</v>
      </c>
      <c r="D135" s="13" t="s">
        <v>673</v>
      </c>
      <c r="E135" s="13" t="s">
        <v>300</v>
      </c>
      <c r="F135" s="13" t="s">
        <v>214</v>
      </c>
      <c r="G135" s="13"/>
      <c r="H135" s="13" t="s">
        <v>674</v>
      </c>
      <c r="I135" s="13"/>
      <c r="J135" s="13"/>
      <c r="K135" s="13" t="s">
        <v>675</v>
      </c>
      <c r="L135" s="13" t="s">
        <v>414</v>
      </c>
      <c r="M135" s="13" t="s">
        <v>218</v>
      </c>
      <c r="N135" s="13" t="s">
        <v>676</v>
      </c>
      <c r="O135" s="7"/>
    </row>
    <row r="136" s="3" customFormat="1" customHeight="1" spans="1:15">
      <c r="A136" s="13" t="s">
        <v>677</v>
      </c>
      <c r="B136" s="13" t="s">
        <v>677</v>
      </c>
      <c r="C136" s="13" t="s">
        <v>677</v>
      </c>
      <c r="D136" s="13" t="s">
        <v>677</v>
      </c>
      <c r="E136" s="13" t="s">
        <v>300</v>
      </c>
      <c r="F136" s="13" t="s">
        <v>214</v>
      </c>
      <c r="G136" s="13"/>
      <c r="H136" s="13" t="s">
        <v>678</v>
      </c>
      <c r="I136" s="13"/>
      <c r="J136" s="13"/>
      <c r="K136" s="13" t="s">
        <v>679</v>
      </c>
      <c r="L136" s="13" t="s">
        <v>264</v>
      </c>
      <c r="M136" s="13" t="s">
        <v>218</v>
      </c>
      <c r="N136" s="13" t="s">
        <v>680</v>
      </c>
      <c r="O136" s="7"/>
    </row>
    <row r="137" s="3" customFormat="1" customHeight="1" spans="1:15">
      <c r="A137" s="13" t="s">
        <v>681</v>
      </c>
      <c r="B137" s="13" t="s">
        <v>681</v>
      </c>
      <c r="C137" s="13" t="s">
        <v>681</v>
      </c>
      <c r="D137" s="13" t="s">
        <v>681</v>
      </c>
      <c r="E137" s="13" t="s">
        <v>300</v>
      </c>
      <c r="F137" s="13" t="s">
        <v>214</v>
      </c>
      <c r="G137" s="13"/>
      <c r="H137" s="13" t="s">
        <v>682</v>
      </c>
      <c r="I137" s="13"/>
      <c r="J137" s="13"/>
      <c r="K137" s="13" t="s">
        <v>683</v>
      </c>
      <c r="L137" s="13" t="s">
        <v>264</v>
      </c>
      <c r="M137" s="13" t="s">
        <v>218</v>
      </c>
      <c r="N137" s="13" t="s">
        <v>684</v>
      </c>
      <c r="O137" s="7"/>
    </row>
    <row r="138" s="3" customFormat="1" customHeight="1" spans="1:15">
      <c r="A138" s="13" t="s">
        <v>685</v>
      </c>
      <c r="B138" s="13" t="s">
        <v>685</v>
      </c>
      <c r="C138" s="13" t="s">
        <v>685</v>
      </c>
      <c r="D138" s="13" t="s">
        <v>685</v>
      </c>
      <c r="E138" s="13" t="s">
        <v>300</v>
      </c>
      <c r="F138" s="13" t="s">
        <v>214</v>
      </c>
      <c r="G138" s="13"/>
      <c r="H138" s="13" t="s">
        <v>686</v>
      </c>
      <c r="I138" s="13"/>
      <c r="J138" s="13"/>
      <c r="K138" s="13" t="s">
        <v>263</v>
      </c>
      <c r="L138" s="13" t="s">
        <v>264</v>
      </c>
      <c r="M138" s="13" t="s">
        <v>218</v>
      </c>
      <c r="N138" s="13" t="s">
        <v>687</v>
      </c>
      <c r="O138" s="7"/>
    </row>
    <row r="139" s="3" customFormat="1" customHeight="1" spans="1:15">
      <c r="A139" s="13" t="s">
        <v>688</v>
      </c>
      <c r="B139" s="13" t="s">
        <v>688</v>
      </c>
      <c r="C139" s="13" t="s">
        <v>688</v>
      </c>
      <c r="D139" s="13" t="s">
        <v>688</v>
      </c>
      <c r="E139" s="13" t="s">
        <v>300</v>
      </c>
      <c r="F139" s="13" t="s">
        <v>214</v>
      </c>
      <c r="G139" s="13"/>
      <c r="H139" s="13" t="s">
        <v>689</v>
      </c>
      <c r="I139" s="13"/>
      <c r="J139" s="13"/>
      <c r="K139" s="13" t="s">
        <v>690</v>
      </c>
      <c r="L139" s="13" t="s">
        <v>264</v>
      </c>
      <c r="M139" s="13" t="s">
        <v>218</v>
      </c>
      <c r="N139" s="13" t="s">
        <v>691</v>
      </c>
      <c r="O139" s="7"/>
    </row>
    <row r="140" s="3" customFormat="1" customHeight="1" spans="1:15">
      <c r="A140" s="13" t="s">
        <v>692</v>
      </c>
      <c r="B140" s="13" t="s">
        <v>692</v>
      </c>
      <c r="C140" s="13" t="s">
        <v>692</v>
      </c>
      <c r="D140" s="13" t="s">
        <v>692</v>
      </c>
      <c r="E140" s="13" t="s">
        <v>300</v>
      </c>
      <c r="F140" s="13" t="s">
        <v>214</v>
      </c>
      <c r="G140" s="13"/>
      <c r="H140" s="13" t="s">
        <v>693</v>
      </c>
      <c r="I140" s="13"/>
      <c r="J140" s="13"/>
      <c r="K140" s="13" t="s">
        <v>694</v>
      </c>
      <c r="L140" s="13" t="s">
        <v>264</v>
      </c>
      <c r="M140" s="13" t="s">
        <v>218</v>
      </c>
      <c r="N140" s="13" t="s">
        <v>695</v>
      </c>
      <c r="O140" s="7"/>
    </row>
    <row r="141" s="3" customFormat="1" customHeight="1" spans="1:15">
      <c r="A141" s="13" t="s">
        <v>696</v>
      </c>
      <c r="B141" s="13" t="s">
        <v>696</v>
      </c>
      <c r="C141" s="13" t="s">
        <v>696</v>
      </c>
      <c r="D141" s="13" t="s">
        <v>696</v>
      </c>
      <c r="E141" s="13" t="s">
        <v>300</v>
      </c>
      <c r="F141" s="13" t="s">
        <v>214</v>
      </c>
      <c r="G141" s="13"/>
      <c r="H141" s="13" t="s">
        <v>697</v>
      </c>
      <c r="I141" s="13"/>
      <c r="J141" s="13"/>
      <c r="K141" s="13" t="s">
        <v>698</v>
      </c>
      <c r="L141" s="13" t="s">
        <v>268</v>
      </c>
      <c r="M141" s="13" t="s">
        <v>218</v>
      </c>
      <c r="N141" s="13" t="s">
        <v>699</v>
      </c>
      <c r="O141" s="7"/>
    </row>
    <row r="142" s="3" customFormat="1" customHeight="1" spans="1:15">
      <c r="A142" s="13" t="s">
        <v>700</v>
      </c>
      <c r="B142" s="13" t="s">
        <v>700</v>
      </c>
      <c r="C142" s="13" t="s">
        <v>700</v>
      </c>
      <c r="D142" s="13" t="s">
        <v>700</v>
      </c>
      <c r="E142" s="13" t="s">
        <v>300</v>
      </c>
      <c r="F142" s="13" t="s">
        <v>214</v>
      </c>
      <c r="G142" s="13"/>
      <c r="H142" s="13" t="s">
        <v>701</v>
      </c>
      <c r="I142" s="13"/>
      <c r="J142" s="13"/>
      <c r="K142" s="13" t="s">
        <v>702</v>
      </c>
      <c r="L142" s="13" t="s">
        <v>239</v>
      </c>
      <c r="M142" s="13" t="s">
        <v>218</v>
      </c>
      <c r="N142" s="13" t="s">
        <v>703</v>
      </c>
      <c r="O142" s="7"/>
    </row>
    <row r="143" s="3" customFormat="1" customHeight="1" spans="1:15">
      <c r="A143" s="13" t="s">
        <v>704</v>
      </c>
      <c r="B143" s="13" t="s">
        <v>704</v>
      </c>
      <c r="C143" s="13" t="s">
        <v>704</v>
      </c>
      <c r="D143" s="13" t="s">
        <v>704</v>
      </c>
      <c r="E143" s="13" t="s">
        <v>300</v>
      </c>
      <c r="F143" s="13" t="s">
        <v>214</v>
      </c>
      <c r="G143" s="13"/>
      <c r="H143" s="13" t="s">
        <v>705</v>
      </c>
      <c r="I143" s="13"/>
      <c r="J143" s="13"/>
      <c r="K143" s="13" t="s">
        <v>702</v>
      </c>
      <c r="L143" s="13" t="s">
        <v>239</v>
      </c>
      <c r="M143" s="13" t="s">
        <v>218</v>
      </c>
      <c r="N143" s="13" t="s">
        <v>703</v>
      </c>
      <c r="O143" s="7"/>
    </row>
    <row r="144" s="3" customFormat="1" customHeight="1" spans="1:15">
      <c r="A144" s="13" t="s">
        <v>706</v>
      </c>
      <c r="B144" s="13" t="s">
        <v>706</v>
      </c>
      <c r="C144" s="13" t="s">
        <v>706</v>
      </c>
      <c r="D144" s="13" t="s">
        <v>706</v>
      </c>
      <c r="E144" s="13" t="s">
        <v>300</v>
      </c>
      <c r="F144" s="13" t="s">
        <v>214</v>
      </c>
      <c r="G144" s="13"/>
      <c r="H144" s="13" t="s">
        <v>707</v>
      </c>
      <c r="I144" s="13"/>
      <c r="J144" s="13"/>
      <c r="K144" s="13" t="s">
        <v>702</v>
      </c>
      <c r="L144" s="13" t="s">
        <v>239</v>
      </c>
      <c r="M144" s="13" t="s">
        <v>218</v>
      </c>
      <c r="N144" s="13" t="s">
        <v>703</v>
      </c>
      <c r="O144" s="7"/>
    </row>
    <row r="145" s="3" customFormat="1" customHeight="1" spans="1:15">
      <c r="A145" s="13" t="s">
        <v>708</v>
      </c>
      <c r="B145" s="13" t="s">
        <v>708</v>
      </c>
      <c r="C145" s="13" t="s">
        <v>708</v>
      </c>
      <c r="D145" s="13" t="s">
        <v>708</v>
      </c>
      <c r="E145" s="13" t="s">
        <v>300</v>
      </c>
      <c r="F145" s="13" t="s">
        <v>214</v>
      </c>
      <c r="G145" s="13"/>
      <c r="H145" s="13" t="s">
        <v>709</v>
      </c>
      <c r="I145" s="13"/>
      <c r="J145" s="13"/>
      <c r="K145" s="13" t="s">
        <v>702</v>
      </c>
      <c r="L145" s="13" t="s">
        <v>239</v>
      </c>
      <c r="M145" s="13" t="s">
        <v>218</v>
      </c>
      <c r="N145" s="13" t="s">
        <v>703</v>
      </c>
      <c r="O145" s="7"/>
    </row>
    <row r="146" s="3" customFormat="1" customHeight="1" spans="1:15">
      <c r="A146" s="13" t="s">
        <v>710</v>
      </c>
      <c r="B146" s="13" t="s">
        <v>710</v>
      </c>
      <c r="C146" s="13" t="s">
        <v>710</v>
      </c>
      <c r="D146" s="13" t="s">
        <v>710</v>
      </c>
      <c r="E146" s="13" t="s">
        <v>300</v>
      </c>
      <c r="F146" s="13" t="s">
        <v>214</v>
      </c>
      <c r="G146" s="13"/>
      <c r="H146" s="13" t="s">
        <v>711</v>
      </c>
      <c r="I146" s="13"/>
      <c r="J146" s="13"/>
      <c r="K146" s="13" t="s">
        <v>712</v>
      </c>
      <c r="L146" s="13" t="s">
        <v>228</v>
      </c>
      <c r="M146" s="13" t="s">
        <v>218</v>
      </c>
      <c r="N146" s="13" t="s">
        <v>713</v>
      </c>
      <c r="O146" s="7"/>
    </row>
    <row r="147" s="3" customFormat="1" customHeight="1" spans="1:15">
      <c r="A147" s="13" t="s">
        <v>714</v>
      </c>
      <c r="B147" s="13" t="s">
        <v>714</v>
      </c>
      <c r="C147" s="13" t="s">
        <v>714</v>
      </c>
      <c r="D147" s="13" t="s">
        <v>714</v>
      </c>
      <c r="E147" s="13" t="s">
        <v>300</v>
      </c>
      <c r="F147" s="13" t="s">
        <v>214</v>
      </c>
      <c r="G147" s="13"/>
      <c r="H147" s="13" t="s">
        <v>715</v>
      </c>
      <c r="I147" s="13"/>
      <c r="J147" s="13"/>
      <c r="K147" s="13" t="s">
        <v>326</v>
      </c>
      <c r="L147" s="13" t="s">
        <v>228</v>
      </c>
      <c r="M147" s="13" t="s">
        <v>218</v>
      </c>
      <c r="N147" s="13" t="s">
        <v>716</v>
      </c>
      <c r="O147" s="7"/>
    </row>
    <row r="148" s="3" customFormat="1" customHeight="1" spans="1:15">
      <c r="A148" s="13" t="s">
        <v>717</v>
      </c>
      <c r="B148" s="13" t="s">
        <v>717</v>
      </c>
      <c r="C148" s="13" t="s">
        <v>717</v>
      </c>
      <c r="D148" s="13" t="s">
        <v>717</v>
      </c>
      <c r="E148" s="13" t="s">
        <v>300</v>
      </c>
      <c r="F148" s="13" t="s">
        <v>214</v>
      </c>
      <c r="G148" s="13"/>
      <c r="H148" s="13" t="s">
        <v>718</v>
      </c>
      <c r="I148" s="13"/>
      <c r="J148" s="13"/>
      <c r="K148" s="13" t="s">
        <v>719</v>
      </c>
      <c r="L148" s="13" t="s">
        <v>343</v>
      </c>
      <c r="M148" s="13" t="s">
        <v>218</v>
      </c>
      <c r="N148" s="13" t="s">
        <v>720</v>
      </c>
      <c r="O148" s="7"/>
    </row>
    <row r="149" s="3" customFormat="1" customHeight="1" spans="1:15">
      <c r="A149" s="13" t="s">
        <v>721</v>
      </c>
      <c r="B149" s="13" t="s">
        <v>721</v>
      </c>
      <c r="C149" s="13" t="s">
        <v>721</v>
      </c>
      <c r="D149" s="13" t="s">
        <v>721</v>
      </c>
      <c r="E149" s="13" t="s">
        <v>300</v>
      </c>
      <c r="F149" s="13" t="s">
        <v>214</v>
      </c>
      <c r="G149" s="13"/>
      <c r="H149" s="13" t="s">
        <v>722</v>
      </c>
      <c r="I149" s="13"/>
      <c r="J149" s="13"/>
      <c r="K149" s="13" t="s">
        <v>723</v>
      </c>
      <c r="L149" s="13" t="s">
        <v>343</v>
      </c>
      <c r="M149" s="13" t="s">
        <v>218</v>
      </c>
      <c r="N149" s="13" t="s">
        <v>724</v>
      </c>
      <c r="O149" s="7"/>
    </row>
    <row r="150" s="3" customFormat="1" customHeight="1" spans="1:15">
      <c r="A150" s="13" t="s">
        <v>725</v>
      </c>
      <c r="B150" s="13" t="s">
        <v>725</v>
      </c>
      <c r="C150" s="13" t="s">
        <v>725</v>
      </c>
      <c r="D150" s="13" t="s">
        <v>725</v>
      </c>
      <c r="E150" s="13" t="s">
        <v>300</v>
      </c>
      <c r="F150" s="13" t="s">
        <v>214</v>
      </c>
      <c r="G150" s="13"/>
      <c r="H150" s="13" t="s">
        <v>726</v>
      </c>
      <c r="I150" s="13"/>
      <c r="J150" s="13"/>
      <c r="K150" s="13" t="s">
        <v>727</v>
      </c>
      <c r="L150" s="13" t="s">
        <v>447</v>
      </c>
      <c r="M150" s="13" t="s">
        <v>218</v>
      </c>
      <c r="N150" s="13" t="s">
        <v>728</v>
      </c>
      <c r="O150" s="7"/>
    </row>
    <row r="151" s="3" customFormat="1" customHeight="1" spans="1:15">
      <c r="A151" s="13" t="s">
        <v>729</v>
      </c>
      <c r="B151" s="13" t="s">
        <v>729</v>
      </c>
      <c r="C151" s="13" t="s">
        <v>729</v>
      </c>
      <c r="D151" s="13" t="s">
        <v>729</v>
      </c>
      <c r="E151" s="13" t="s">
        <v>300</v>
      </c>
      <c r="F151" s="13" t="s">
        <v>214</v>
      </c>
      <c r="G151" s="13"/>
      <c r="H151" s="13" t="s">
        <v>730</v>
      </c>
      <c r="I151" s="13"/>
      <c r="J151" s="13"/>
      <c r="K151" s="13" t="s">
        <v>731</v>
      </c>
      <c r="L151" s="13" t="s">
        <v>732</v>
      </c>
      <c r="M151" s="13" t="s">
        <v>218</v>
      </c>
      <c r="N151" s="13" t="s">
        <v>733</v>
      </c>
      <c r="O151" s="7"/>
    </row>
    <row r="152" s="3" customFormat="1" customHeight="1" spans="1:15">
      <c r="A152" s="13" t="s">
        <v>734</v>
      </c>
      <c r="B152" s="13" t="s">
        <v>734</v>
      </c>
      <c r="C152" s="13" t="s">
        <v>734</v>
      </c>
      <c r="D152" s="13" t="s">
        <v>734</v>
      </c>
      <c r="E152" s="13" t="s">
        <v>300</v>
      </c>
      <c r="F152" s="13" t="s">
        <v>214</v>
      </c>
      <c r="G152" s="13"/>
      <c r="H152" s="13" t="s">
        <v>735</v>
      </c>
      <c r="I152" s="13"/>
      <c r="J152" s="13"/>
      <c r="K152" s="13" t="s">
        <v>736</v>
      </c>
      <c r="L152" s="13" t="s">
        <v>732</v>
      </c>
      <c r="M152" s="13" t="s">
        <v>218</v>
      </c>
      <c r="N152" s="13" t="s">
        <v>737</v>
      </c>
      <c r="O152" s="7"/>
    </row>
    <row r="153" s="3" customFormat="1" customHeight="1" spans="1:15">
      <c r="A153" s="13" t="s">
        <v>738</v>
      </c>
      <c r="B153" s="13" t="s">
        <v>738</v>
      </c>
      <c r="C153" s="13" t="s">
        <v>738</v>
      </c>
      <c r="D153" s="13" t="s">
        <v>738</v>
      </c>
      <c r="E153" s="13" t="s">
        <v>300</v>
      </c>
      <c r="F153" s="13" t="s">
        <v>214</v>
      </c>
      <c r="G153" s="13"/>
      <c r="H153" s="13" t="s">
        <v>739</v>
      </c>
      <c r="I153" s="13"/>
      <c r="J153" s="13"/>
      <c r="K153" s="13" t="s">
        <v>740</v>
      </c>
      <c r="L153" s="13" t="s">
        <v>732</v>
      </c>
      <c r="M153" s="13" t="s">
        <v>218</v>
      </c>
      <c r="N153" s="13" t="s">
        <v>741</v>
      </c>
      <c r="O153" s="7"/>
    </row>
    <row r="154" s="3" customFormat="1" customHeight="1" spans="1:15">
      <c r="A154" s="13" t="s">
        <v>742</v>
      </c>
      <c r="B154" s="13" t="s">
        <v>742</v>
      </c>
      <c r="C154" s="13" t="s">
        <v>742</v>
      </c>
      <c r="D154" s="13" t="s">
        <v>742</v>
      </c>
      <c r="E154" s="13" t="s">
        <v>300</v>
      </c>
      <c r="F154" s="13" t="s">
        <v>214</v>
      </c>
      <c r="G154" s="13"/>
      <c r="H154" s="13" t="s">
        <v>743</v>
      </c>
      <c r="I154" s="13"/>
      <c r="J154" s="13"/>
      <c r="K154" s="13" t="s">
        <v>744</v>
      </c>
      <c r="L154" s="13" t="s">
        <v>447</v>
      </c>
      <c r="M154" s="13" t="s">
        <v>218</v>
      </c>
      <c r="N154" s="13" t="s">
        <v>745</v>
      </c>
      <c r="O154" s="7"/>
    </row>
    <row r="155" s="3" customFormat="1" customHeight="1" spans="1:15">
      <c r="A155" s="13" t="s">
        <v>746</v>
      </c>
      <c r="B155" s="13" t="s">
        <v>746</v>
      </c>
      <c r="C155" s="13" t="s">
        <v>746</v>
      </c>
      <c r="D155" s="13" t="s">
        <v>746</v>
      </c>
      <c r="E155" s="13" t="s">
        <v>300</v>
      </c>
      <c r="F155" s="13" t="s">
        <v>214</v>
      </c>
      <c r="G155" s="13"/>
      <c r="H155" s="13" t="s">
        <v>747</v>
      </c>
      <c r="I155" s="13"/>
      <c r="J155" s="13"/>
      <c r="K155" s="13" t="s">
        <v>748</v>
      </c>
      <c r="L155" s="13" t="s">
        <v>447</v>
      </c>
      <c r="M155" s="13" t="s">
        <v>218</v>
      </c>
      <c r="N155" s="13" t="s">
        <v>749</v>
      </c>
      <c r="O155" s="7"/>
    </row>
    <row r="156" s="3" customFormat="1" customHeight="1" spans="1:15">
      <c r="A156" s="13" t="s">
        <v>750</v>
      </c>
      <c r="B156" s="13" t="s">
        <v>750</v>
      </c>
      <c r="C156" s="13" t="s">
        <v>750</v>
      </c>
      <c r="D156" s="13" t="s">
        <v>750</v>
      </c>
      <c r="E156" s="13" t="s">
        <v>300</v>
      </c>
      <c r="F156" s="13" t="s">
        <v>214</v>
      </c>
      <c r="G156" s="13"/>
      <c r="H156" s="13" t="s">
        <v>751</v>
      </c>
      <c r="I156" s="13"/>
      <c r="J156" s="13"/>
      <c r="K156" s="13" t="s">
        <v>752</v>
      </c>
      <c r="L156" s="13" t="s">
        <v>228</v>
      </c>
      <c r="M156" s="13" t="s">
        <v>218</v>
      </c>
      <c r="N156" s="13" t="s">
        <v>753</v>
      </c>
      <c r="O156" s="7"/>
    </row>
    <row r="157" s="3" customFormat="1" customHeight="1" spans="1:15">
      <c r="A157" s="13" t="s">
        <v>754</v>
      </c>
      <c r="B157" s="13" t="s">
        <v>754</v>
      </c>
      <c r="C157" s="13" t="s">
        <v>754</v>
      </c>
      <c r="D157" s="13" t="s">
        <v>754</v>
      </c>
      <c r="E157" s="13" t="s">
        <v>300</v>
      </c>
      <c r="F157" s="13" t="s">
        <v>214</v>
      </c>
      <c r="G157" s="13"/>
      <c r="H157" s="13" t="s">
        <v>755</v>
      </c>
      <c r="I157" s="13"/>
      <c r="J157" s="13"/>
      <c r="K157" s="13" t="s">
        <v>756</v>
      </c>
      <c r="L157" s="13" t="s">
        <v>228</v>
      </c>
      <c r="M157" s="13" t="s">
        <v>218</v>
      </c>
      <c r="N157" s="13" t="s">
        <v>757</v>
      </c>
      <c r="O157" s="7"/>
    </row>
    <row r="158" s="3" customFormat="1" customHeight="1" spans="1:15">
      <c r="A158" s="13" t="s">
        <v>758</v>
      </c>
      <c r="B158" s="13" t="s">
        <v>758</v>
      </c>
      <c r="C158" s="13" t="s">
        <v>758</v>
      </c>
      <c r="D158" s="13" t="s">
        <v>758</v>
      </c>
      <c r="E158" s="13" t="s">
        <v>300</v>
      </c>
      <c r="F158" s="13" t="s">
        <v>214</v>
      </c>
      <c r="G158" s="13"/>
      <c r="H158" s="13" t="s">
        <v>759</v>
      </c>
      <c r="I158" s="13"/>
      <c r="J158" s="13"/>
      <c r="K158" s="13" t="s">
        <v>227</v>
      </c>
      <c r="L158" s="13" t="s">
        <v>228</v>
      </c>
      <c r="M158" s="13" t="s">
        <v>218</v>
      </c>
      <c r="N158" s="13" t="s">
        <v>760</v>
      </c>
      <c r="O158" s="7"/>
    </row>
    <row r="159" s="3" customFormat="1" customHeight="1" spans="1:15">
      <c r="A159" s="13" t="s">
        <v>761</v>
      </c>
      <c r="B159" s="13" t="s">
        <v>761</v>
      </c>
      <c r="C159" s="13" t="s">
        <v>761</v>
      </c>
      <c r="D159" s="13" t="s">
        <v>761</v>
      </c>
      <c r="E159" s="13" t="s">
        <v>300</v>
      </c>
      <c r="F159" s="13" t="s">
        <v>214</v>
      </c>
      <c r="G159" s="13"/>
      <c r="H159" s="13" t="s">
        <v>751</v>
      </c>
      <c r="I159" s="13"/>
      <c r="J159" s="13"/>
      <c r="K159" s="13" t="s">
        <v>712</v>
      </c>
      <c r="L159" s="13" t="s">
        <v>228</v>
      </c>
      <c r="M159" s="13" t="s">
        <v>218</v>
      </c>
      <c r="N159" s="13" t="s">
        <v>713</v>
      </c>
      <c r="O159" s="7"/>
    </row>
    <row r="160" s="3" customFormat="1" customHeight="1" spans="1:15">
      <c r="A160" s="13" t="s">
        <v>762</v>
      </c>
      <c r="B160" s="13" t="s">
        <v>762</v>
      </c>
      <c r="C160" s="13" t="s">
        <v>762</v>
      </c>
      <c r="D160" s="13" t="s">
        <v>762</v>
      </c>
      <c r="E160" s="13" t="s">
        <v>300</v>
      </c>
      <c r="F160" s="13" t="s">
        <v>214</v>
      </c>
      <c r="G160" s="13"/>
      <c r="H160" s="13" t="s">
        <v>763</v>
      </c>
      <c r="I160" s="13"/>
      <c r="J160" s="13"/>
      <c r="K160" s="13" t="s">
        <v>764</v>
      </c>
      <c r="L160" s="13" t="s">
        <v>217</v>
      </c>
      <c r="M160" s="13" t="s">
        <v>218</v>
      </c>
      <c r="N160" s="13" t="s">
        <v>765</v>
      </c>
      <c r="O160" s="7"/>
    </row>
    <row r="161" s="3" customFormat="1" customHeight="1" spans="1:15">
      <c r="A161" s="13" t="s">
        <v>766</v>
      </c>
      <c r="B161" s="13" t="s">
        <v>766</v>
      </c>
      <c r="C161" s="13" t="s">
        <v>766</v>
      </c>
      <c r="D161" s="13" t="s">
        <v>766</v>
      </c>
      <c r="E161" s="13" t="s">
        <v>300</v>
      </c>
      <c r="F161" s="13" t="s">
        <v>214</v>
      </c>
      <c r="G161" s="13"/>
      <c r="H161" s="13" t="s">
        <v>767</v>
      </c>
      <c r="I161" s="13"/>
      <c r="J161" s="13"/>
      <c r="K161" s="13" t="s">
        <v>768</v>
      </c>
      <c r="L161" s="13" t="s">
        <v>769</v>
      </c>
      <c r="M161" s="13" t="s">
        <v>218</v>
      </c>
      <c r="N161" s="13" t="s">
        <v>770</v>
      </c>
      <c r="O161" s="7"/>
    </row>
    <row r="162" s="3" customFormat="1" customHeight="1" spans="1:15">
      <c r="A162" s="13" t="s">
        <v>771</v>
      </c>
      <c r="B162" s="13" t="s">
        <v>771</v>
      </c>
      <c r="C162" s="13" t="s">
        <v>771</v>
      </c>
      <c r="D162" s="13" t="s">
        <v>771</v>
      </c>
      <c r="E162" s="13" t="s">
        <v>300</v>
      </c>
      <c r="F162" s="13" t="s">
        <v>214</v>
      </c>
      <c r="G162" s="13"/>
      <c r="H162" s="13" t="s">
        <v>772</v>
      </c>
      <c r="I162" s="13"/>
      <c r="J162" s="13"/>
      <c r="K162" s="13" t="s">
        <v>446</v>
      </c>
      <c r="L162" s="13" t="s">
        <v>447</v>
      </c>
      <c r="M162" s="13" t="s">
        <v>218</v>
      </c>
      <c r="N162" s="13" t="s">
        <v>773</v>
      </c>
      <c r="O162" s="7"/>
    </row>
    <row r="163" s="3" customFormat="1" customHeight="1" spans="1:15">
      <c r="A163" s="13" t="s">
        <v>774</v>
      </c>
      <c r="B163" s="13" t="s">
        <v>774</v>
      </c>
      <c r="C163" s="13" t="s">
        <v>774</v>
      </c>
      <c r="D163" s="13" t="s">
        <v>774</v>
      </c>
      <c r="E163" s="13" t="s">
        <v>300</v>
      </c>
      <c r="F163" s="13" t="s">
        <v>214</v>
      </c>
      <c r="G163" s="13"/>
      <c r="H163" s="13" t="s">
        <v>775</v>
      </c>
      <c r="I163" s="13"/>
      <c r="J163" s="13"/>
      <c r="K163" s="13" t="s">
        <v>776</v>
      </c>
      <c r="L163" s="13" t="s">
        <v>282</v>
      </c>
      <c r="M163" s="13" t="s">
        <v>218</v>
      </c>
      <c r="N163" s="13" t="s">
        <v>777</v>
      </c>
      <c r="O163" s="7"/>
    </row>
    <row r="164" s="3" customFormat="1" customHeight="1" spans="1:15">
      <c r="A164" s="13" t="s">
        <v>778</v>
      </c>
      <c r="B164" s="13" t="s">
        <v>778</v>
      </c>
      <c r="C164" s="13" t="s">
        <v>778</v>
      </c>
      <c r="D164" s="13" t="s">
        <v>778</v>
      </c>
      <c r="E164" s="13" t="s">
        <v>300</v>
      </c>
      <c r="F164" s="13" t="s">
        <v>214</v>
      </c>
      <c r="G164" s="13"/>
      <c r="H164" s="13" t="s">
        <v>779</v>
      </c>
      <c r="I164" s="13"/>
      <c r="J164" s="13"/>
      <c r="K164" s="13" t="s">
        <v>780</v>
      </c>
      <c r="L164" s="13" t="s">
        <v>282</v>
      </c>
      <c r="M164" s="13" t="s">
        <v>218</v>
      </c>
      <c r="N164" s="13" t="s">
        <v>781</v>
      </c>
      <c r="O164" s="7"/>
    </row>
    <row r="165" s="3" customFormat="1" customHeight="1" spans="1:15">
      <c r="A165" s="13" t="s">
        <v>782</v>
      </c>
      <c r="B165" s="13" t="s">
        <v>782</v>
      </c>
      <c r="C165" s="13" t="s">
        <v>782</v>
      </c>
      <c r="D165" s="13" t="s">
        <v>782</v>
      </c>
      <c r="E165" s="13" t="s">
        <v>300</v>
      </c>
      <c r="F165" s="13" t="s">
        <v>214</v>
      </c>
      <c r="G165" s="13"/>
      <c r="H165" s="13" t="s">
        <v>783</v>
      </c>
      <c r="I165" s="13"/>
      <c r="J165" s="13"/>
      <c r="K165" s="13" t="s">
        <v>784</v>
      </c>
      <c r="L165" s="13" t="s">
        <v>282</v>
      </c>
      <c r="M165" s="13" t="s">
        <v>218</v>
      </c>
      <c r="N165" s="13" t="s">
        <v>785</v>
      </c>
      <c r="O165" s="7"/>
    </row>
    <row r="166" s="3" customFormat="1" customHeight="1" spans="1:15">
      <c r="A166" s="13" t="s">
        <v>786</v>
      </c>
      <c r="B166" s="13" t="s">
        <v>786</v>
      </c>
      <c r="C166" s="13" t="s">
        <v>786</v>
      </c>
      <c r="D166" s="13" t="s">
        <v>786</v>
      </c>
      <c r="E166" s="13" t="s">
        <v>300</v>
      </c>
      <c r="F166" s="13" t="s">
        <v>214</v>
      </c>
      <c r="G166" s="13"/>
      <c r="H166" s="13" t="s">
        <v>783</v>
      </c>
      <c r="I166" s="13"/>
      <c r="J166" s="13"/>
      <c r="K166" s="13" t="s">
        <v>784</v>
      </c>
      <c r="L166" s="13" t="s">
        <v>282</v>
      </c>
      <c r="M166" s="13" t="s">
        <v>218</v>
      </c>
      <c r="N166" s="13" t="s">
        <v>785</v>
      </c>
      <c r="O166" s="7"/>
    </row>
    <row r="167" s="3" customFormat="1" customHeight="1" spans="1:15">
      <c r="A167" s="13" t="s">
        <v>787</v>
      </c>
      <c r="B167" s="13" t="s">
        <v>787</v>
      </c>
      <c r="C167" s="13" t="s">
        <v>787</v>
      </c>
      <c r="D167" s="13" t="s">
        <v>787</v>
      </c>
      <c r="E167" s="13" t="s">
        <v>300</v>
      </c>
      <c r="F167" s="13" t="s">
        <v>214</v>
      </c>
      <c r="G167" s="13"/>
      <c r="H167" s="13" t="s">
        <v>788</v>
      </c>
      <c r="I167" s="13"/>
      <c r="J167" s="13"/>
      <c r="K167" s="13" t="s">
        <v>789</v>
      </c>
      <c r="L167" s="13" t="s">
        <v>282</v>
      </c>
      <c r="M167" s="13" t="s">
        <v>218</v>
      </c>
      <c r="N167" s="13" t="s">
        <v>790</v>
      </c>
      <c r="O167" s="7"/>
    </row>
    <row r="168" s="3" customFormat="1" customHeight="1" spans="1:15">
      <c r="A168" s="13" t="s">
        <v>791</v>
      </c>
      <c r="B168" s="13" t="s">
        <v>791</v>
      </c>
      <c r="C168" s="13" t="s">
        <v>791</v>
      </c>
      <c r="D168" s="13" t="s">
        <v>791</v>
      </c>
      <c r="E168" s="13" t="s">
        <v>300</v>
      </c>
      <c r="F168" s="13" t="s">
        <v>214</v>
      </c>
      <c r="G168" s="13"/>
      <c r="H168" s="13" t="s">
        <v>792</v>
      </c>
      <c r="I168" s="13"/>
      <c r="J168" s="13"/>
      <c r="K168" s="13" t="s">
        <v>793</v>
      </c>
      <c r="L168" s="13" t="s">
        <v>217</v>
      </c>
      <c r="M168" s="13" t="s">
        <v>218</v>
      </c>
      <c r="N168" s="13" t="s">
        <v>794</v>
      </c>
      <c r="O168" s="7"/>
    </row>
    <row r="169" s="3" customFormat="1" customHeight="1" spans="1:15">
      <c r="A169" s="13" t="s">
        <v>795</v>
      </c>
      <c r="B169" s="13" t="s">
        <v>795</v>
      </c>
      <c r="C169" s="13" t="s">
        <v>795</v>
      </c>
      <c r="D169" s="13" t="s">
        <v>795</v>
      </c>
      <c r="E169" s="13" t="s">
        <v>300</v>
      </c>
      <c r="F169" s="13" t="s">
        <v>214</v>
      </c>
      <c r="G169" s="13"/>
      <c r="H169" s="13" t="s">
        <v>796</v>
      </c>
      <c r="I169" s="13"/>
      <c r="J169" s="13"/>
      <c r="K169" s="13" t="s">
        <v>797</v>
      </c>
      <c r="L169" s="13" t="s">
        <v>217</v>
      </c>
      <c r="M169" s="13" t="s">
        <v>218</v>
      </c>
      <c r="N169" s="13" t="s">
        <v>798</v>
      </c>
      <c r="O169" s="7"/>
    </row>
    <row r="170" s="3" customFormat="1" customHeight="1" spans="1:15">
      <c r="A170" s="13" t="s">
        <v>799</v>
      </c>
      <c r="B170" s="13" t="s">
        <v>799</v>
      </c>
      <c r="C170" s="13" t="s">
        <v>799</v>
      </c>
      <c r="D170" s="13" t="s">
        <v>799</v>
      </c>
      <c r="E170" s="13" t="s">
        <v>300</v>
      </c>
      <c r="F170" s="13" t="s">
        <v>214</v>
      </c>
      <c r="G170" s="13"/>
      <c r="H170" s="13" t="s">
        <v>800</v>
      </c>
      <c r="I170" s="13"/>
      <c r="J170" s="13"/>
      <c r="K170" s="13" t="s">
        <v>801</v>
      </c>
      <c r="L170" s="13" t="s">
        <v>228</v>
      </c>
      <c r="M170" s="13" t="s">
        <v>218</v>
      </c>
      <c r="N170" s="13" t="s">
        <v>802</v>
      </c>
      <c r="O170" s="7"/>
    </row>
    <row r="171" s="3" customFormat="1" customHeight="1" spans="1:15">
      <c r="A171" s="13" t="s">
        <v>803</v>
      </c>
      <c r="B171" s="13" t="s">
        <v>803</v>
      </c>
      <c r="C171" s="13" t="s">
        <v>803</v>
      </c>
      <c r="D171" s="13" t="s">
        <v>803</v>
      </c>
      <c r="E171" s="13" t="s">
        <v>300</v>
      </c>
      <c r="F171" s="13" t="s">
        <v>214</v>
      </c>
      <c r="G171" s="13"/>
      <c r="H171" s="13" t="s">
        <v>804</v>
      </c>
      <c r="I171" s="13"/>
      <c r="J171" s="13"/>
      <c r="K171" s="13" t="s">
        <v>801</v>
      </c>
      <c r="L171" s="13" t="s">
        <v>228</v>
      </c>
      <c r="M171" s="13" t="s">
        <v>218</v>
      </c>
      <c r="N171" s="13">
        <v>75261</v>
      </c>
      <c r="O171" s="7"/>
    </row>
    <row r="172" s="3" customFormat="1" customHeight="1" spans="1:15">
      <c r="A172" s="13" t="s">
        <v>805</v>
      </c>
      <c r="B172" s="13" t="s">
        <v>805</v>
      </c>
      <c r="C172" s="13" t="s">
        <v>805</v>
      </c>
      <c r="D172" s="13" t="s">
        <v>805</v>
      </c>
      <c r="E172" s="13" t="s">
        <v>300</v>
      </c>
      <c r="F172" s="13" t="s">
        <v>214</v>
      </c>
      <c r="G172" s="13"/>
      <c r="H172" s="13" t="s">
        <v>806</v>
      </c>
      <c r="I172" s="13"/>
      <c r="J172" s="13"/>
      <c r="K172" s="13" t="s">
        <v>227</v>
      </c>
      <c r="L172" s="13" t="s">
        <v>228</v>
      </c>
      <c r="M172" s="13" t="s">
        <v>218</v>
      </c>
      <c r="N172" s="13" t="s">
        <v>807</v>
      </c>
      <c r="O172" s="7"/>
    </row>
    <row r="173" s="3" customFormat="1" customHeight="1" spans="1:15">
      <c r="A173" s="13" t="s">
        <v>808</v>
      </c>
      <c r="B173" s="13" t="s">
        <v>808</v>
      </c>
      <c r="C173" s="13" t="s">
        <v>808</v>
      </c>
      <c r="D173" s="13" t="s">
        <v>808</v>
      </c>
      <c r="E173" s="13" t="s">
        <v>300</v>
      </c>
      <c r="F173" s="13" t="s">
        <v>214</v>
      </c>
      <c r="G173" s="13"/>
      <c r="H173" s="13" t="s">
        <v>809</v>
      </c>
      <c r="I173" s="13"/>
      <c r="J173" s="13"/>
      <c r="K173" s="13" t="s">
        <v>810</v>
      </c>
      <c r="L173" s="13" t="s">
        <v>228</v>
      </c>
      <c r="M173" s="13" t="s">
        <v>218</v>
      </c>
      <c r="N173" s="13" t="s">
        <v>811</v>
      </c>
      <c r="O173" s="7"/>
    </row>
    <row r="174" s="3" customFormat="1" customHeight="1" spans="1:15">
      <c r="A174" s="13" t="s">
        <v>812</v>
      </c>
      <c r="B174" s="13" t="s">
        <v>812</v>
      </c>
      <c r="C174" s="13" t="s">
        <v>812</v>
      </c>
      <c r="D174" s="13" t="s">
        <v>812</v>
      </c>
      <c r="E174" s="13" t="s">
        <v>300</v>
      </c>
      <c r="F174" s="13" t="s">
        <v>214</v>
      </c>
      <c r="G174" s="13"/>
      <c r="H174" s="13" t="s">
        <v>813</v>
      </c>
      <c r="I174" s="13"/>
      <c r="J174" s="13"/>
      <c r="K174" s="13" t="s">
        <v>801</v>
      </c>
      <c r="L174" s="13" t="s">
        <v>228</v>
      </c>
      <c r="M174" s="13" t="s">
        <v>218</v>
      </c>
      <c r="N174" s="13" t="s">
        <v>713</v>
      </c>
      <c r="O174" s="7"/>
    </row>
    <row r="175" s="3" customFormat="1" customHeight="1" spans="1:15">
      <c r="A175" s="13" t="s">
        <v>814</v>
      </c>
      <c r="B175" s="13" t="s">
        <v>814</v>
      </c>
      <c r="C175" s="13" t="s">
        <v>814</v>
      </c>
      <c r="D175" s="13" t="s">
        <v>814</v>
      </c>
      <c r="E175" s="13" t="s">
        <v>300</v>
      </c>
      <c r="F175" s="13" t="s">
        <v>214</v>
      </c>
      <c r="G175" s="13"/>
      <c r="H175" s="13" t="s">
        <v>815</v>
      </c>
      <c r="I175" s="13"/>
      <c r="J175" s="13"/>
      <c r="K175" s="13" t="s">
        <v>816</v>
      </c>
      <c r="L175" s="13" t="s">
        <v>228</v>
      </c>
      <c r="M175" s="13" t="s">
        <v>218</v>
      </c>
      <c r="N175" s="13" t="s">
        <v>817</v>
      </c>
      <c r="O175" s="7"/>
    </row>
    <row r="176" s="3" customFormat="1" customHeight="1" spans="1:15">
      <c r="A176" s="13" t="s">
        <v>818</v>
      </c>
      <c r="B176" s="13" t="s">
        <v>818</v>
      </c>
      <c r="C176" s="13" t="s">
        <v>818</v>
      </c>
      <c r="D176" s="13" t="s">
        <v>818</v>
      </c>
      <c r="E176" s="13" t="s">
        <v>300</v>
      </c>
      <c r="F176" s="13" t="s">
        <v>214</v>
      </c>
      <c r="G176" s="13"/>
      <c r="H176" s="13" t="s">
        <v>819</v>
      </c>
      <c r="I176" s="13"/>
      <c r="J176" s="13"/>
      <c r="K176" s="13" t="s">
        <v>820</v>
      </c>
      <c r="L176" s="13" t="s">
        <v>382</v>
      </c>
      <c r="M176" s="13" t="s">
        <v>218</v>
      </c>
      <c r="N176" s="13" t="s">
        <v>821</v>
      </c>
      <c r="O176" s="7"/>
    </row>
    <row r="177" s="3" customFormat="1" customHeight="1" spans="1:15">
      <c r="A177" s="13" t="s">
        <v>822</v>
      </c>
      <c r="B177" s="13" t="s">
        <v>822</v>
      </c>
      <c r="C177" s="13" t="s">
        <v>822</v>
      </c>
      <c r="D177" s="13" t="s">
        <v>822</v>
      </c>
      <c r="E177" s="13" t="s">
        <v>300</v>
      </c>
      <c r="F177" s="13" t="s">
        <v>214</v>
      </c>
      <c r="G177" s="13"/>
      <c r="H177" s="13" t="s">
        <v>823</v>
      </c>
      <c r="I177" s="13"/>
      <c r="J177" s="13"/>
      <c r="K177" s="13" t="s">
        <v>824</v>
      </c>
      <c r="L177" s="13" t="s">
        <v>623</v>
      </c>
      <c r="M177" s="13" t="s">
        <v>218</v>
      </c>
      <c r="N177" s="13" t="s">
        <v>825</v>
      </c>
      <c r="O177" s="7"/>
    </row>
    <row r="178" s="3" customFormat="1" customHeight="1" spans="1:15">
      <c r="A178" s="13" t="s">
        <v>826</v>
      </c>
      <c r="B178" s="13" t="s">
        <v>826</v>
      </c>
      <c r="C178" s="13" t="s">
        <v>826</v>
      </c>
      <c r="D178" s="13" t="s">
        <v>826</v>
      </c>
      <c r="E178" s="13" t="s">
        <v>300</v>
      </c>
      <c r="F178" s="13" t="s">
        <v>214</v>
      </c>
      <c r="G178" s="13"/>
      <c r="H178" s="13" t="s">
        <v>827</v>
      </c>
      <c r="I178" s="13"/>
      <c r="J178" s="13"/>
      <c r="K178" s="13" t="s">
        <v>457</v>
      </c>
      <c r="L178" s="13" t="s">
        <v>476</v>
      </c>
      <c r="M178" s="13" t="s">
        <v>218</v>
      </c>
      <c r="N178" s="13" t="s">
        <v>828</v>
      </c>
      <c r="O178" s="7"/>
    </row>
    <row r="179" s="3" customFormat="1" customHeight="1" spans="1:15">
      <c r="A179" s="13" t="s">
        <v>829</v>
      </c>
      <c r="B179" s="13" t="s">
        <v>829</v>
      </c>
      <c r="C179" s="13" t="s">
        <v>829</v>
      </c>
      <c r="D179" s="13" t="s">
        <v>829</v>
      </c>
      <c r="E179" s="13" t="s">
        <v>300</v>
      </c>
      <c r="F179" s="13" t="s">
        <v>214</v>
      </c>
      <c r="G179" s="13"/>
      <c r="H179" s="13" t="s">
        <v>830</v>
      </c>
      <c r="I179" s="13"/>
      <c r="J179" s="13"/>
      <c r="K179" s="13" t="s">
        <v>831</v>
      </c>
      <c r="L179" s="13" t="s">
        <v>558</v>
      </c>
      <c r="M179" s="13" t="s">
        <v>218</v>
      </c>
      <c r="N179" s="13" t="s">
        <v>832</v>
      </c>
      <c r="O179" s="7"/>
    </row>
    <row r="180" s="3" customFormat="1" customHeight="1" spans="1:15">
      <c r="A180" s="13" t="s">
        <v>833</v>
      </c>
      <c r="B180" s="13" t="s">
        <v>833</v>
      </c>
      <c r="C180" s="13" t="s">
        <v>833</v>
      </c>
      <c r="D180" s="13" t="s">
        <v>833</v>
      </c>
      <c r="E180" s="13" t="s">
        <v>300</v>
      </c>
      <c r="F180" s="13" t="s">
        <v>214</v>
      </c>
      <c r="G180" s="13"/>
      <c r="H180" s="13" t="s">
        <v>834</v>
      </c>
      <c r="I180" s="13"/>
      <c r="J180" s="13"/>
      <c r="K180" s="13" t="s">
        <v>835</v>
      </c>
      <c r="L180" s="13" t="s">
        <v>476</v>
      </c>
      <c r="M180" s="13" t="s">
        <v>218</v>
      </c>
      <c r="N180" s="13" t="s">
        <v>836</v>
      </c>
      <c r="O180" s="7"/>
    </row>
    <row r="181" s="3" customFormat="1" customHeight="1" spans="1:15">
      <c r="A181" s="13" t="s">
        <v>837</v>
      </c>
      <c r="B181" s="13" t="s">
        <v>837</v>
      </c>
      <c r="C181" s="13" t="s">
        <v>837</v>
      </c>
      <c r="D181" s="13" t="s">
        <v>837</v>
      </c>
      <c r="E181" s="13" t="s">
        <v>300</v>
      </c>
      <c r="F181" s="13" t="s">
        <v>214</v>
      </c>
      <c r="G181" s="13"/>
      <c r="H181" s="13" t="s">
        <v>838</v>
      </c>
      <c r="I181" s="13"/>
      <c r="J181" s="13"/>
      <c r="K181" s="13" t="s">
        <v>839</v>
      </c>
      <c r="L181" s="13" t="s">
        <v>476</v>
      </c>
      <c r="M181" s="13" t="s">
        <v>218</v>
      </c>
      <c r="N181" s="13" t="s">
        <v>840</v>
      </c>
      <c r="O181" s="7"/>
    </row>
    <row r="182" s="3" customFormat="1" customHeight="1" spans="1:15">
      <c r="A182" s="13" t="s">
        <v>841</v>
      </c>
      <c r="B182" s="13" t="s">
        <v>841</v>
      </c>
      <c r="C182" s="13" t="s">
        <v>841</v>
      </c>
      <c r="D182" s="13" t="s">
        <v>841</v>
      </c>
      <c r="E182" s="13" t="s">
        <v>300</v>
      </c>
      <c r="F182" s="13" t="s">
        <v>214</v>
      </c>
      <c r="G182" s="13"/>
      <c r="H182" s="13" t="s">
        <v>842</v>
      </c>
      <c r="I182" s="13"/>
      <c r="J182" s="13"/>
      <c r="K182" s="13" t="s">
        <v>843</v>
      </c>
      <c r="L182" s="13" t="s">
        <v>476</v>
      </c>
      <c r="M182" s="13" t="s">
        <v>218</v>
      </c>
      <c r="N182" s="13" t="s">
        <v>844</v>
      </c>
      <c r="O182" s="7"/>
    </row>
    <row r="183" s="3" customFormat="1" customHeight="1" spans="1:15">
      <c r="A183" s="13" t="s">
        <v>845</v>
      </c>
      <c r="B183" s="13" t="s">
        <v>845</v>
      </c>
      <c r="C183" s="13" t="s">
        <v>845</v>
      </c>
      <c r="D183" s="13" t="s">
        <v>845</v>
      </c>
      <c r="E183" s="13" t="s">
        <v>300</v>
      </c>
      <c r="F183" s="13" t="s">
        <v>214</v>
      </c>
      <c r="G183" s="13"/>
      <c r="H183" s="13" t="s">
        <v>846</v>
      </c>
      <c r="I183" s="13"/>
      <c r="J183" s="13"/>
      <c r="K183" s="13" t="s">
        <v>847</v>
      </c>
      <c r="L183" s="13" t="s">
        <v>476</v>
      </c>
      <c r="M183" s="13" t="s">
        <v>218</v>
      </c>
      <c r="N183" s="13" t="s">
        <v>848</v>
      </c>
      <c r="O183" s="7"/>
    </row>
    <row r="184" s="3" customFormat="1" customHeight="1" spans="1:15">
      <c r="A184" s="13" t="s">
        <v>849</v>
      </c>
      <c r="B184" s="13" t="s">
        <v>849</v>
      </c>
      <c r="C184" s="13" t="s">
        <v>849</v>
      </c>
      <c r="D184" s="13" t="s">
        <v>849</v>
      </c>
      <c r="E184" s="13" t="s">
        <v>300</v>
      </c>
      <c r="F184" s="13" t="s">
        <v>214</v>
      </c>
      <c r="G184" s="13"/>
      <c r="H184" s="13" t="s">
        <v>850</v>
      </c>
      <c r="I184" s="13"/>
      <c r="J184" s="13"/>
      <c r="K184" s="13" t="s">
        <v>851</v>
      </c>
      <c r="L184" s="13" t="s">
        <v>307</v>
      </c>
      <c r="M184" s="13" t="s">
        <v>218</v>
      </c>
      <c r="N184" s="13" t="s">
        <v>852</v>
      </c>
      <c r="O184" s="7"/>
    </row>
    <row r="185" s="3" customFormat="1" customHeight="1" spans="1:15">
      <c r="A185" s="13" t="s">
        <v>853</v>
      </c>
      <c r="B185" s="13" t="s">
        <v>853</v>
      </c>
      <c r="C185" s="13" t="s">
        <v>853</v>
      </c>
      <c r="D185" s="13" t="s">
        <v>853</v>
      </c>
      <c r="E185" s="13" t="s">
        <v>300</v>
      </c>
      <c r="F185" s="13" t="s">
        <v>214</v>
      </c>
      <c r="G185" s="13"/>
      <c r="H185" s="13" t="s">
        <v>854</v>
      </c>
      <c r="I185" s="13"/>
      <c r="J185" s="13"/>
      <c r="K185" s="13" t="s">
        <v>855</v>
      </c>
      <c r="L185" s="13" t="s">
        <v>447</v>
      </c>
      <c r="M185" s="13" t="s">
        <v>218</v>
      </c>
      <c r="N185" s="13" t="s">
        <v>856</v>
      </c>
      <c r="O185" s="7"/>
    </row>
    <row r="186" s="3" customFormat="1" customHeight="1" spans="1:15">
      <c r="A186" s="13" t="s">
        <v>857</v>
      </c>
      <c r="B186" s="13" t="s">
        <v>857</v>
      </c>
      <c r="C186" s="13" t="s">
        <v>857</v>
      </c>
      <c r="D186" s="13" t="s">
        <v>857</v>
      </c>
      <c r="E186" s="13" t="s">
        <v>300</v>
      </c>
      <c r="F186" s="13" t="s">
        <v>214</v>
      </c>
      <c r="G186" s="13"/>
      <c r="H186" s="13" t="s">
        <v>858</v>
      </c>
      <c r="I186" s="13"/>
      <c r="J186" s="13"/>
      <c r="K186" s="13" t="s">
        <v>859</v>
      </c>
      <c r="L186" s="13" t="s">
        <v>414</v>
      </c>
      <c r="M186" s="13" t="s">
        <v>218</v>
      </c>
      <c r="N186" s="13" t="s">
        <v>860</v>
      </c>
      <c r="O186" s="7"/>
    </row>
    <row r="187" s="3" customFormat="1" customHeight="1" spans="1:15">
      <c r="A187" s="13" t="s">
        <v>861</v>
      </c>
      <c r="B187" s="13" t="s">
        <v>861</v>
      </c>
      <c r="C187" s="13" t="s">
        <v>861</v>
      </c>
      <c r="D187" s="13" t="s">
        <v>861</v>
      </c>
      <c r="E187" s="13" t="s">
        <v>300</v>
      </c>
      <c r="F187" s="13" t="s">
        <v>214</v>
      </c>
      <c r="G187" s="13"/>
      <c r="H187" s="13" t="s">
        <v>862</v>
      </c>
      <c r="I187" s="13"/>
      <c r="J187" s="13"/>
      <c r="K187" s="13" t="s">
        <v>863</v>
      </c>
      <c r="L187" s="13" t="s">
        <v>647</v>
      </c>
      <c r="M187" s="13" t="s">
        <v>218</v>
      </c>
      <c r="N187" s="13" t="s">
        <v>864</v>
      </c>
      <c r="O187" s="7"/>
    </row>
    <row r="188" s="3" customFormat="1" customHeight="1" spans="1:15">
      <c r="A188" s="13" t="s">
        <v>865</v>
      </c>
      <c r="B188" s="13" t="s">
        <v>865</v>
      </c>
      <c r="C188" s="13" t="s">
        <v>865</v>
      </c>
      <c r="D188" s="13" t="s">
        <v>865</v>
      </c>
      <c r="E188" s="13" t="s">
        <v>300</v>
      </c>
      <c r="F188" s="13" t="s">
        <v>214</v>
      </c>
      <c r="G188" s="13"/>
      <c r="H188" s="13" t="s">
        <v>866</v>
      </c>
      <c r="I188" s="13"/>
      <c r="J188" s="13"/>
      <c r="K188" s="13" t="s">
        <v>867</v>
      </c>
      <c r="L188" s="13" t="s">
        <v>224</v>
      </c>
      <c r="M188" s="13" t="s">
        <v>218</v>
      </c>
      <c r="N188" s="13" t="s">
        <v>868</v>
      </c>
      <c r="O188" s="7"/>
    </row>
    <row r="189" s="3" customFormat="1" customHeight="1" spans="1:15">
      <c r="A189" s="13" t="s">
        <v>869</v>
      </c>
      <c r="B189" s="13" t="s">
        <v>869</v>
      </c>
      <c r="C189" s="13" t="s">
        <v>869</v>
      </c>
      <c r="D189" s="13" t="s">
        <v>869</v>
      </c>
      <c r="E189" s="13" t="s">
        <v>300</v>
      </c>
      <c r="F189" s="13" t="s">
        <v>214</v>
      </c>
      <c r="G189" s="13"/>
      <c r="H189" s="13" t="s">
        <v>870</v>
      </c>
      <c r="I189" s="13"/>
      <c r="J189" s="13"/>
      <c r="K189" s="13" t="s">
        <v>867</v>
      </c>
      <c r="L189" s="13" t="s">
        <v>224</v>
      </c>
      <c r="M189" s="13" t="s">
        <v>218</v>
      </c>
      <c r="N189" s="13" t="s">
        <v>871</v>
      </c>
      <c r="O189" s="7"/>
    </row>
    <row r="190" s="3" customFormat="1" customHeight="1" spans="1:15">
      <c r="A190" s="13" t="s">
        <v>872</v>
      </c>
      <c r="B190" s="13" t="s">
        <v>872</v>
      </c>
      <c r="C190" s="13" t="s">
        <v>872</v>
      </c>
      <c r="D190" s="13" t="s">
        <v>872</v>
      </c>
      <c r="E190" s="13" t="s">
        <v>300</v>
      </c>
      <c r="F190" s="13" t="s">
        <v>214</v>
      </c>
      <c r="G190" s="13"/>
      <c r="H190" s="13" t="s">
        <v>873</v>
      </c>
      <c r="I190" s="13"/>
      <c r="J190" s="13"/>
      <c r="K190" s="13" t="s">
        <v>553</v>
      </c>
      <c r="L190" s="13" t="s">
        <v>224</v>
      </c>
      <c r="M190" s="13" t="s">
        <v>218</v>
      </c>
      <c r="N190" s="13" t="s">
        <v>874</v>
      </c>
      <c r="O190" s="7"/>
    </row>
    <row r="191" s="3" customFormat="1" customHeight="1" spans="1:15">
      <c r="A191" s="13" t="s">
        <v>875</v>
      </c>
      <c r="B191" s="13" t="s">
        <v>875</v>
      </c>
      <c r="C191" s="13" t="s">
        <v>875</v>
      </c>
      <c r="D191" s="13" t="s">
        <v>875</v>
      </c>
      <c r="E191" s="13" t="s">
        <v>300</v>
      </c>
      <c r="F191" s="13" t="s">
        <v>214</v>
      </c>
      <c r="G191" s="13"/>
      <c r="H191" s="13" t="s">
        <v>876</v>
      </c>
      <c r="I191" s="13"/>
      <c r="J191" s="13"/>
      <c r="K191" s="13" t="s">
        <v>877</v>
      </c>
      <c r="L191" s="13" t="s">
        <v>228</v>
      </c>
      <c r="M191" s="13" t="s">
        <v>218</v>
      </c>
      <c r="N191" s="13" t="s">
        <v>878</v>
      </c>
      <c r="O191" s="7"/>
    </row>
    <row r="192" s="3" customFormat="1" customHeight="1" spans="1:15">
      <c r="A192" s="13" t="s">
        <v>879</v>
      </c>
      <c r="B192" s="13" t="s">
        <v>879</v>
      </c>
      <c r="C192" s="13" t="s">
        <v>879</v>
      </c>
      <c r="D192" s="13" t="s">
        <v>879</v>
      </c>
      <c r="E192" s="13" t="s">
        <v>300</v>
      </c>
      <c r="F192" s="13" t="s">
        <v>214</v>
      </c>
      <c r="G192" s="13"/>
      <c r="H192" s="13" t="s">
        <v>880</v>
      </c>
      <c r="I192" s="13"/>
      <c r="J192" s="13"/>
      <c r="K192" s="13" t="s">
        <v>881</v>
      </c>
      <c r="L192" s="13" t="s">
        <v>228</v>
      </c>
      <c r="M192" s="13" t="s">
        <v>218</v>
      </c>
      <c r="N192" s="13" t="s">
        <v>882</v>
      </c>
      <c r="O192" s="7"/>
    </row>
    <row r="193" s="3" customFormat="1" customHeight="1" spans="1:15">
      <c r="A193" s="13" t="s">
        <v>883</v>
      </c>
      <c r="B193" s="13" t="s">
        <v>883</v>
      </c>
      <c r="C193" s="13" t="s">
        <v>883</v>
      </c>
      <c r="D193" s="13" t="s">
        <v>883</v>
      </c>
      <c r="E193" s="13" t="s">
        <v>300</v>
      </c>
      <c r="F193" s="13" t="s">
        <v>214</v>
      </c>
      <c r="G193" s="13"/>
      <c r="H193" s="13" t="s">
        <v>884</v>
      </c>
      <c r="I193" s="13"/>
      <c r="J193" s="13"/>
      <c r="K193" s="13" t="s">
        <v>885</v>
      </c>
      <c r="L193" s="13" t="s">
        <v>228</v>
      </c>
      <c r="M193" s="13" t="s">
        <v>218</v>
      </c>
      <c r="N193" s="13" t="s">
        <v>886</v>
      </c>
      <c r="O193" s="7"/>
    </row>
    <row r="194" s="3" customFormat="1" customHeight="1" spans="1:15">
      <c r="A194" s="13" t="s">
        <v>887</v>
      </c>
      <c r="B194" s="13" t="s">
        <v>887</v>
      </c>
      <c r="C194" s="13" t="s">
        <v>887</v>
      </c>
      <c r="D194" s="13" t="s">
        <v>887</v>
      </c>
      <c r="E194" s="13" t="s">
        <v>300</v>
      </c>
      <c r="F194" s="13" t="s">
        <v>214</v>
      </c>
      <c r="G194" s="13"/>
      <c r="H194" s="13" t="s">
        <v>888</v>
      </c>
      <c r="I194" s="13"/>
      <c r="J194" s="13"/>
      <c r="K194" s="13" t="s">
        <v>881</v>
      </c>
      <c r="L194" s="13" t="s">
        <v>228</v>
      </c>
      <c r="M194" s="13" t="s">
        <v>218</v>
      </c>
      <c r="N194" s="13" t="s">
        <v>889</v>
      </c>
      <c r="O194" s="7"/>
    </row>
    <row r="195" s="3" customFormat="1" customHeight="1" spans="1:15">
      <c r="A195" s="13" t="s">
        <v>890</v>
      </c>
      <c r="B195" s="13" t="s">
        <v>890</v>
      </c>
      <c r="C195" s="13" t="s">
        <v>890</v>
      </c>
      <c r="D195" s="13" t="s">
        <v>890</v>
      </c>
      <c r="E195" s="13" t="s">
        <v>300</v>
      </c>
      <c r="F195" s="13" t="s">
        <v>214</v>
      </c>
      <c r="G195" s="13"/>
      <c r="H195" s="13" t="s">
        <v>891</v>
      </c>
      <c r="I195" s="13"/>
      <c r="J195" s="13"/>
      <c r="K195" s="13" t="s">
        <v>892</v>
      </c>
      <c r="L195" s="13" t="s">
        <v>228</v>
      </c>
      <c r="M195" s="13" t="s">
        <v>218</v>
      </c>
      <c r="N195" s="13" t="s">
        <v>893</v>
      </c>
      <c r="O195" s="7"/>
    </row>
    <row r="196" s="3" customFormat="1" customHeight="1" spans="1:15">
      <c r="A196" s="13" t="s">
        <v>894</v>
      </c>
      <c r="B196" s="13" t="s">
        <v>894</v>
      </c>
      <c r="C196" s="13" t="s">
        <v>894</v>
      </c>
      <c r="D196" s="13" t="s">
        <v>894</v>
      </c>
      <c r="E196" s="13" t="s">
        <v>300</v>
      </c>
      <c r="F196" s="13" t="s">
        <v>214</v>
      </c>
      <c r="G196" s="13"/>
      <c r="H196" s="13" t="s">
        <v>895</v>
      </c>
      <c r="I196" s="13"/>
      <c r="J196" s="13"/>
      <c r="K196" s="13" t="s">
        <v>896</v>
      </c>
      <c r="L196" s="13" t="s">
        <v>235</v>
      </c>
      <c r="M196" s="13" t="s">
        <v>218</v>
      </c>
      <c r="N196" s="13" t="s">
        <v>897</v>
      </c>
      <c r="O196" s="7"/>
    </row>
    <row r="197" s="3" customFormat="1" customHeight="1" spans="1:15">
      <c r="A197" s="13" t="s">
        <v>898</v>
      </c>
      <c r="B197" s="13" t="s">
        <v>898</v>
      </c>
      <c r="C197" s="13" t="s">
        <v>898</v>
      </c>
      <c r="D197" s="13" t="s">
        <v>898</v>
      </c>
      <c r="E197" s="13" t="s">
        <v>300</v>
      </c>
      <c r="F197" s="13" t="s">
        <v>214</v>
      </c>
      <c r="G197" s="13"/>
      <c r="H197" s="13" t="s">
        <v>899</v>
      </c>
      <c r="I197" s="13"/>
      <c r="J197" s="13"/>
      <c r="K197" s="13" t="s">
        <v>900</v>
      </c>
      <c r="L197" s="13" t="s">
        <v>278</v>
      </c>
      <c r="M197" s="13" t="s">
        <v>218</v>
      </c>
      <c r="N197" s="13" t="s">
        <v>901</v>
      </c>
      <c r="O197" s="7"/>
    </row>
    <row r="198" s="3" customFormat="1" customHeight="1" spans="1:15">
      <c r="A198" s="13" t="s">
        <v>902</v>
      </c>
      <c r="B198" s="13" t="s">
        <v>902</v>
      </c>
      <c r="C198" s="13" t="s">
        <v>902</v>
      </c>
      <c r="D198" s="13" t="s">
        <v>902</v>
      </c>
      <c r="E198" s="13" t="s">
        <v>300</v>
      </c>
      <c r="F198" s="13" t="s">
        <v>214</v>
      </c>
      <c r="G198" s="13"/>
      <c r="H198" s="13" t="s">
        <v>903</v>
      </c>
      <c r="I198" s="13"/>
      <c r="J198" s="13"/>
      <c r="K198" s="13" t="s">
        <v>904</v>
      </c>
      <c r="L198" s="13" t="s">
        <v>257</v>
      </c>
      <c r="M198" s="13" t="s">
        <v>218</v>
      </c>
      <c r="N198" s="13" t="s">
        <v>905</v>
      </c>
      <c r="O198" s="7"/>
    </row>
    <row r="199" s="3" customFormat="1" customHeight="1" spans="1:15">
      <c r="A199" s="13" t="s">
        <v>906</v>
      </c>
      <c r="B199" s="13" t="s">
        <v>906</v>
      </c>
      <c r="C199" s="13" t="s">
        <v>906</v>
      </c>
      <c r="D199" s="13" t="s">
        <v>906</v>
      </c>
      <c r="E199" s="13" t="s">
        <v>300</v>
      </c>
      <c r="F199" s="13" t="s">
        <v>214</v>
      </c>
      <c r="G199" s="13"/>
      <c r="H199" s="13" t="s">
        <v>907</v>
      </c>
      <c r="I199" s="13"/>
      <c r="J199" s="13"/>
      <c r="K199" s="13" t="s">
        <v>256</v>
      </c>
      <c r="L199" s="13" t="s">
        <v>257</v>
      </c>
      <c r="M199" s="13" t="s">
        <v>218</v>
      </c>
      <c r="N199" s="13" t="s">
        <v>908</v>
      </c>
      <c r="O199" s="7"/>
    </row>
    <row r="200" s="3" customFormat="1" customHeight="1" spans="1:15">
      <c r="A200" s="13" t="s">
        <v>909</v>
      </c>
      <c r="B200" s="13" t="s">
        <v>909</v>
      </c>
      <c r="C200" s="13" t="s">
        <v>909</v>
      </c>
      <c r="D200" s="13" t="s">
        <v>909</v>
      </c>
      <c r="E200" s="13" t="s">
        <v>300</v>
      </c>
      <c r="F200" s="13" t="s">
        <v>214</v>
      </c>
      <c r="G200" s="13"/>
      <c r="H200" s="13" t="s">
        <v>910</v>
      </c>
      <c r="I200" s="13"/>
      <c r="J200" s="13"/>
      <c r="K200" s="13" t="s">
        <v>256</v>
      </c>
      <c r="L200" s="13" t="s">
        <v>257</v>
      </c>
      <c r="M200" s="13" t="s">
        <v>218</v>
      </c>
      <c r="N200" s="13" t="s">
        <v>911</v>
      </c>
      <c r="O200" s="7"/>
    </row>
    <row r="201" s="3" customFormat="1" customHeight="1" spans="1:15">
      <c r="A201" s="13" t="s">
        <v>912</v>
      </c>
      <c r="B201" s="13" t="s">
        <v>912</v>
      </c>
      <c r="C201" s="13" t="s">
        <v>912</v>
      </c>
      <c r="D201" s="13" t="s">
        <v>912</v>
      </c>
      <c r="E201" s="13" t="s">
        <v>300</v>
      </c>
      <c r="F201" s="13" t="s">
        <v>214</v>
      </c>
      <c r="G201" s="13"/>
      <c r="H201" s="13" t="s">
        <v>913</v>
      </c>
      <c r="I201" s="13"/>
      <c r="J201" s="13"/>
      <c r="K201" s="13" t="s">
        <v>914</v>
      </c>
      <c r="L201" s="13" t="s">
        <v>257</v>
      </c>
      <c r="M201" s="13" t="s">
        <v>218</v>
      </c>
      <c r="N201" s="13" t="s">
        <v>915</v>
      </c>
      <c r="O201" s="7"/>
    </row>
    <row r="202" s="3" customFormat="1" customHeight="1" spans="1:15">
      <c r="A202" s="13" t="s">
        <v>916</v>
      </c>
      <c r="B202" s="13" t="s">
        <v>916</v>
      </c>
      <c r="C202" s="13" t="s">
        <v>916</v>
      </c>
      <c r="D202" s="13" t="s">
        <v>916</v>
      </c>
      <c r="E202" s="13" t="s">
        <v>300</v>
      </c>
      <c r="F202" s="13" t="s">
        <v>214</v>
      </c>
      <c r="G202" s="13"/>
      <c r="H202" s="13" t="s">
        <v>917</v>
      </c>
      <c r="I202" s="13"/>
      <c r="J202" s="13"/>
      <c r="K202" s="13" t="s">
        <v>256</v>
      </c>
      <c r="L202" s="13" t="s">
        <v>257</v>
      </c>
      <c r="M202" s="13" t="s">
        <v>218</v>
      </c>
      <c r="N202" s="13" t="s">
        <v>911</v>
      </c>
      <c r="O202" s="7"/>
    </row>
    <row r="203" s="3" customFormat="1" customHeight="1" spans="1:15">
      <c r="A203" s="13" t="s">
        <v>918</v>
      </c>
      <c r="B203" s="13" t="s">
        <v>918</v>
      </c>
      <c r="C203" s="13" t="s">
        <v>918</v>
      </c>
      <c r="D203" s="13" t="s">
        <v>918</v>
      </c>
      <c r="E203" s="13" t="s">
        <v>300</v>
      </c>
      <c r="F203" s="13" t="s">
        <v>214</v>
      </c>
      <c r="G203" s="13"/>
      <c r="H203" s="13" t="s">
        <v>919</v>
      </c>
      <c r="I203" s="13"/>
      <c r="J203" s="13"/>
      <c r="K203" s="13" t="s">
        <v>920</v>
      </c>
      <c r="L203" s="13" t="s">
        <v>257</v>
      </c>
      <c r="M203" s="13" t="s">
        <v>218</v>
      </c>
      <c r="N203" s="13" t="s">
        <v>921</v>
      </c>
      <c r="O203" s="7"/>
    </row>
    <row r="204" s="3" customFormat="1" customHeight="1" spans="1:15">
      <c r="A204" s="13" t="s">
        <v>922</v>
      </c>
      <c r="B204" s="13" t="s">
        <v>922</v>
      </c>
      <c r="C204" s="13" t="s">
        <v>922</v>
      </c>
      <c r="D204" s="13" t="s">
        <v>922</v>
      </c>
      <c r="E204" s="13" t="s">
        <v>300</v>
      </c>
      <c r="F204" s="13" t="s">
        <v>214</v>
      </c>
      <c r="G204" s="13"/>
      <c r="H204" s="13" t="s">
        <v>923</v>
      </c>
      <c r="I204" s="13"/>
      <c r="J204" s="13"/>
      <c r="K204" s="13" t="s">
        <v>924</v>
      </c>
      <c r="L204" s="13" t="s">
        <v>257</v>
      </c>
      <c r="M204" s="13" t="s">
        <v>218</v>
      </c>
      <c r="N204" s="13" t="s">
        <v>925</v>
      </c>
      <c r="O204" s="7"/>
    </row>
    <row r="205" s="3" customFormat="1" customHeight="1" spans="1:15">
      <c r="A205" s="13" t="s">
        <v>926</v>
      </c>
      <c r="B205" s="13" t="s">
        <v>926</v>
      </c>
      <c r="C205" s="13" t="s">
        <v>926</v>
      </c>
      <c r="D205" s="13" t="s">
        <v>926</v>
      </c>
      <c r="E205" s="13" t="s">
        <v>300</v>
      </c>
      <c r="F205" s="13" t="s">
        <v>214</v>
      </c>
      <c r="G205" s="13"/>
      <c r="H205" s="13" t="s">
        <v>927</v>
      </c>
      <c r="I205" s="13"/>
      <c r="J205" s="13"/>
      <c r="K205" s="13" t="s">
        <v>881</v>
      </c>
      <c r="L205" s="13" t="s">
        <v>228</v>
      </c>
      <c r="M205" s="13" t="s">
        <v>218</v>
      </c>
      <c r="N205" s="13" t="s">
        <v>928</v>
      </c>
      <c r="O205" s="7"/>
    </row>
    <row r="206" s="3" customFormat="1" customHeight="1" spans="1:15">
      <c r="A206" s="13" t="s">
        <v>929</v>
      </c>
      <c r="B206" s="13" t="s">
        <v>929</v>
      </c>
      <c r="C206" s="13" t="s">
        <v>929</v>
      </c>
      <c r="D206" s="13" t="s">
        <v>929</v>
      </c>
      <c r="E206" s="13" t="s">
        <v>300</v>
      </c>
      <c r="F206" s="13" t="s">
        <v>214</v>
      </c>
      <c r="G206" s="13"/>
      <c r="H206" s="13" t="s">
        <v>930</v>
      </c>
      <c r="I206" s="13"/>
      <c r="J206" s="13"/>
      <c r="K206" s="13" t="s">
        <v>881</v>
      </c>
      <c r="L206" s="13" t="s">
        <v>228</v>
      </c>
      <c r="M206" s="13" t="s">
        <v>218</v>
      </c>
      <c r="N206" s="13" t="s">
        <v>931</v>
      </c>
      <c r="O206" s="7"/>
    </row>
    <row r="207" s="3" customFormat="1" customHeight="1" spans="1:15">
      <c r="A207" s="13" t="s">
        <v>932</v>
      </c>
      <c r="B207" s="13" t="s">
        <v>932</v>
      </c>
      <c r="C207" s="13" t="s">
        <v>932</v>
      </c>
      <c r="D207" s="13" t="s">
        <v>932</v>
      </c>
      <c r="E207" s="13" t="s">
        <v>300</v>
      </c>
      <c r="F207" s="13" t="s">
        <v>214</v>
      </c>
      <c r="G207" s="13"/>
      <c r="H207" s="13" t="s">
        <v>933</v>
      </c>
      <c r="I207" s="13"/>
      <c r="J207" s="13"/>
      <c r="K207" s="13" t="s">
        <v>934</v>
      </c>
      <c r="L207" s="13" t="s">
        <v>239</v>
      </c>
      <c r="M207" s="13" t="s">
        <v>218</v>
      </c>
      <c r="N207" s="13" t="s">
        <v>935</v>
      </c>
      <c r="O207" s="7"/>
    </row>
    <row r="208" s="3" customFormat="1" customHeight="1" spans="1:15">
      <c r="A208" s="13" t="s">
        <v>936</v>
      </c>
      <c r="B208" s="13" t="s">
        <v>936</v>
      </c>
      <c r="C208" s="13" t="s">
        <v>936</v>
      </c>
      <c r="D208" s="13" t="s">
        <v>936</v>
      </c>
      <c r="E208" s="13" t="s">
        <v>300</v>
      </c>
      <c r="F208" s="13" t="s">
        <v>214</v>
      </c>
      <c r="G208" s="13"/>
      <c r="H208" s="13" t="s">
        <v>937</v>
      </c>
      <c r="I208" s="13"/>
      <c r="J208" s="13"/>
      <c r="K208" s="13" t="s">
        <v>938</v>
      </c>
      <c r="L208" s="13" t="s">
        <v>239</v>
      </c>
      <c r="M208" s="13" t="s">
        <v>218</v>
      </c>
      <c r="N208" s="13" t="s">
        <v>703</v>
      </c>
      <c r="O208" s="7"/>
    </row>
    <row r="209" s="3" customFormat="1" customHeight="1" spans="1:15">
      <c r="A209" s="13" t="s">
        <v>939</v>
      </c>
      <c r="B209" s="13" t="s">
        <v>939</v>
      </c>
      <c r="C209" s="13" t="s">
        <v>939</v>
      </c>
      <c r="D209" s="13" t="s">
        <v>939</v>
      </c>
      <c r="E209" s="13" t="s">
        <v>300</v>
      </c>
      <c r="F209" s="13" t="s">
        <v>214</v>
      </c>
      <c r="G209" s="13"/>
      <c r="H209" s="13" t="s">
        <v>940</v>
      </c>
      <c r="I209" s="13"/>
      <c r="J209" s="13"/>
      <c r="K209" s="13" t="s">
        <v>514</v>
      </c>
      <c r="L209" s="13" t="s">
        <v>282</v>
      </c>
      <c r="M209" s="13" t="s">
        <v>218</v>
      </c>
      <c r="N209" s="13" t="s">
        <v>515</v>
      </c>
      <c r="O209" s="7"/>
    </row>
    <row r="210" s="3" customFormat="1" customHeight="1" spans="1:15">
      <c r="A210" s="13" t="s">
        <v>941</v>
      </c>
      <c r="B210" s="13" t="s">
        <v>941</v>
      </c>
      <c r="C210" s="13" t="s">
        <v>941</v>
      </c>
      <c r="D210" s="13" t="s">
        <v>941</v>
      </c>
      <c r="E210" s="13" t="s">
        <v>300</v>
      </c>
      <c r="F210" s="13" t="s">
        <v>214</v>
      </c>
      <c r="G210" s="13"/>
      <c r="H210" s="13" t="s">
        <v>942</v>
      </c>
      <c r="I210" s="13"/>
      <c r="J210" s="13"/>
      <c r="K210" s="13" t="s">
        <v>943</v>
      </c>
      <c r="L210" s="13" t="s">
        <v>282</v>
      </c>
      <c r="M210" s="13" t="s">
        <v>218</v>
      </c>
      <c r="N210" s="13" t="s">
        <v>944</v>
      </c>
      <c r="O210" s="7"/>
    </row>
    <row r="211" s="3" customFormat="1" customHeight="1" spans="1:15">
      <c r="A211" s="13" t="s">
        <v>945</v>
      </c>
      <c r="B211" s="13" t="s">
        <v>945</v>
      </c>
      <c r="C211" s="13" t="s">
        <v>945</v>
      </c>
      <c r="D211" s="13" t="s">
        <v>945</v>
      </c>
      <c r="E211" s="13" t="s">
        <v>300</v>
      </c>
      <c r="F211" s="13" t="s">
        <v>214</v>
      </c>
      <c r="G211" s="13"/>
      <c r="H211" s="13" t="s">
        <v>946</v>
      </c>
      <c r="I211" s="13"/>
      <c r="J211" s="13"/>
      <c r="K211" s="13" t="s">
        <v>310</v>
      </c>
      <c r="L211" s="13" t="s">
        <v>311</v>
      </c>
      <c r="M211" s="13" t="s">
        <v>218</v>
      </c>
      <c r="N211" s="13" t="s">
        <v>947</v>
      </c>
      <c r="O211" s="7"/>
    </row>
    <row r="212" s="3" customFormat="1" customHeight="1" spans="1:15">
      <c r="A212" s="13" t="s">
        <v>948</v>
      </c>
      <c r="B212" s="13" t="s">
        <v>948</v>
      </c>
      <c r="C212" s="13" t="s">
        <v>948</v>
      </c>
      <c r="D212" s="13" t="s">
        <v>948</v>
      </c>
      <c r="E212" s="13" t="s">
        <v>300</v>
      </c>
      <c r="F212" s="13" t="s">
        <v>214</v>
      </c>
      <c r="G212" s="13"/>
      <c r="H212" s="13" t="s">
        <v>949</v>
      </c>
      <c r="I212" s="13"/>
      <c r="J212" s="13"/>
      <c r="K212" s="13" t="s">
        <v>310</v>
      </c>
      <c r="L212" s="13" t="s">
        <v>311</v>
      </c>
      <c r="M212" s="13" t="s">
        <v>218</v>
      </c>
      <c r="N212" s="13" t="s">
        <v>950</v>
      </c>
      <c r="O212" s="7"/>
    </row>
    <row r="213" s="3" customFormat="1" customHeight="1" spans="1:15">
      <c r="A213" s="13" t="s">
        <v>951</v>
      </c>
      <c r="B213" s="13" t="s">
        <v>951</v>
      </c>
      <c r="C213" s="13" t="s">
        <v>951</v>
      </c>
      <c r="D213" s="13" t="s">
        <v>951</v>
      </c>
      <c r="E213" s="13" t="s">
        <v>300</v>
      </c>
      <c r="F213" s="13" t="s">
        <v>214</v>
      </c>
      <c r="G213" s="13"/>
      <c r="H213" s="13" t="s">
        <v>952</v>
      </c>
      <c r="I213" s="13"/>
      <c r="J213" s="13"/>
      <c r="K213" s="13" t="s">
        <v>953</v>
      </c>
      <c r="L213" s="13" t="s">
        <v>249</v>
      </c>
      <c r="M213" s="13" t="s">
        <v>218</v>
      </c>
      <c r="N213" s="13" t="s">
        <v>954</v>
      </c>
      <c r="O213" s="7"/>
    </row>
    <row r="214" s="3" customFormat="1" customHeight="1" spans="1:15">
      <c r="A214" s="13" t="s">
        <v>955</v>
      </c>
      <c r="B214" s="13" t="s">
        <v>955</v>
      </c>
      <c r="C214" s="13" t="s">
        <v>955</v>
      </c>
      <c r="D214" s="13" t="s">
        <v>955</v>
      </c>
      <c r="E214" s="13" t="s">
        <v>300</v>
      </c>
      <c r="F214" s="13" t="s">
        <v>214</v>
      </c>
      <c r="G214" s="13"/>
      <c r="H214" s="13" t="s">
        <v>956</v>
      </c>
      <c r="I214" s="13"/>
      <c r="J214" s="13"/>
      <c r="K214" s="13" t="s">
        <v>953</v>
      </c>
      <c r="L214" s="13" t="s">
        <v>249</v>
      </c>
      <c r="M214" s="13" t="s">
        <v>218</v>
      </c>
      <c r="N214" s="13" t="s">
        <v>957</v>
      </c>
      <c r="O214" s="7"/>
    </row>
    <row r="215" s="3" customFormat="1" customHeight="1" spans="1:15">
      <c r="A215" s="13" t="s">
        <v>958</v>
      </c>
      <c r="B215" s="13" t="s">
        <v>958</v>
      </c>
      <c r="C215" s="13" t="s">
        <v>958</v>
      </c>
      <c r="D215" s="13" t="s">
        <v>958</v>
      </c>
      <c r="E215" s="13" t="s">
        <v>300</v>
      </c>
      <c r="F215" s="13" t="s">
        <v>214</v>
      </c>
      <c r="G215" s="13"/>
      <c r="H215" s="13" t="s">
        <v>959</v>
      </c>
      <c r="I215" s="13"/>
      <c r="J215" s="13"/>
      <c r="K215" s="13" t="s">
        <v>960</v>
      </c>
      <c r="L215" s="13" t="s">
        <v>476</v>
      </c>
      <c r="M215" s="13" t="s">
        <v>218</v>
      </c>
      <c r="N215" s="13" t="s">
        <v>961</v>
      </c>
      <c r="O215" s="7"/>
    </row>
    <row r="216" s="3" customFormat="1" customHeight="1" spans="1:15">
      <c r="A216" s="13" t="s">
        <v>962</v>
      </c>
      <c r="B216" s="13" t="s">
        <v>962</v>
      </c>
      <c r="C216" s="13" t="s">
        <v>962</v>
      </c>
      <c r="D216" s="13" t="s">
        <v>962</v>
      </c>
      <c r="E216" s="13" t="s">
        <v>300</v>
      </c>
      <c r="F216" s="13" t="s">
        <v>214</v>
      </c>
      <c r="G216" s="13"/>
      <c r="H216" s="13" t="s">
        <v>963</v>
      </c>
      <c r="I216" s="13"/>
      <c r="J216" s="13"/>
      <c r="K216" s="13" t="s">
        <v>964</v>
      </c>
      <c r="L216" s="13" t="s">
        <v>965</v>
      </c>
      <c r="M216" s="13" t="s">
        <v>218</v>
      </c>
      <c r="N216" s="13" t="s">
        <v>966</v>
      </c>
      <c r="O216" s="7"/>
    </row>
    <row r="217" s="3" customFormat="1" customHeight="1" spans="1:15">
      <c r="A217" s="13" t="s">
        <v>967</v>
      </c>
      <c r="B217" s="13" t="s">
        <v>967</v>
      </c>
      <c r="C217" s="13" t="s">
        <v>967</v>
      </c>
      <c r="D217" s="13" t="s">
        <v>967</v>
      </c>
      <c r="E217" s="13" t="s">
        <v>300</v>
      </c>
      <c r="F217" s="13" t="s">
        <v>214</v>
      </c>
      <c r="G217" s="13"/>
      <c r="H217" s="13" t="s">
        <v>968</v>
      </c>
      <c r="I217" s="13"/>
      <c r="J217" s="13"/>
      <c r="K217" s="13" t="s">
        <v>216</v>
      </c>
      <c r="L217" s="13" t="s">
        <v>217</v>
      </c>
      <c r="M217" s="13" t="s">
        <v>218</v>
      </c>
      <c r="N217" s="13" t="s">
        <v>969</v>
      </c>
      <c r="O217" s="7"/>
    </row>
    <row r="218" s="3" customFormat="1" customHeight="1" spans="1:15">
      <c r="A218" s="13" t="s">
        <v>970</v>
      </c>
      <c r="B218" s="13" t="s">
        <v>970</v>
      </c>
      <c r="C218" s="13" t="s">
        <v>970</v>
      </c>
      <c r="D218" s="13" t="s">
        <v>970</v>
      </c>
      <c r="E218" s="13" t="s">
        <v>300</v>
      </c>
      <c r="F218" s="13" t="s">
        <v>214</v>
      </c>
      <c r="G218" s="13"/>
      <c r="H218" s="13" t="s">
        <v>971</v>
      </c>
      <c r="I218" s="13"/>
      <c r="J218" s="13"/>
      <c r="K218" s="13" t="s">
        <v>323</v>
      </c>
      <c r="L218" s="13" t="s">
        <v>217</v>
      </c>
      <c r="M218" s="13" t="s">
        <v>218</v>
      </c>
      <c r="N218" s="13" t="s">
        <v>972</v>
      </c>
      <c r="O218" s="7"/>
    </row>
    <row r="219" s="3" customFormat="1" customHeight="1" spans="1:15">
      <c r="A219" s="13" t="s">
        <v>973</v>
      </c>
      <c r="B219" s="13" t="s">
        <v>973</v>
      </c>
      <c r="C219" s="13" t="s">
        <v>973</v>
      </c>
      <c r="D219" s="13" t="s">
        <v>973</v>
      </c>
      <c r="E219" s="13" t="s">
        <v>300</v>
      </c>
      <c r="F219" s="13" t="s">
        <v>214</v>
      </c>
      <c r="G219" s="13"/>
      <c r="H219" s="13" t="s">
        <v>974</v>
      </c>
      <c r="I219" s="13"/>
      <c r="J219" s="13"/>
      <c r="K219" s="13" t="s">
        <v>975</v>
      </c>
      <c r="L219" s="13" t="s">
        <v>307</v>
      </c>
      <c r="M219" s="13" t="s">
        <v>218</v>
      </c>
      <c r="N219" s="13" t="s">
        <v>976</v>
      </c>
      <c r="O219" s="7"/>
    </row>
    <row r="220" s="3" customFormat="1" customHeight="1" spans="1:15">
      <c r="A220" s="13" t="s">
        <v>977</v>
      </c>
      <c r="B220" s="13" t="s">
        <v>977</v>
      </c>
      <c r="C220" s="13" t="s">
        <v>977</v>
      </c>
      <c r="D220" s="13" t="s">
        <v>977</v>
      </c>
      <c r="E220" s="13" t="s">
        <v>300</v>
      </c>
      <c r="F220" s="13" t="s">
        <v>214</v>
      </c>
      <c r="G220" s="13"/>
      <c r="H220" s="13" t="s">
        <v>978</v>
      </c>
      <c r="I220" s="13"/>
      <c r="J220" s="13"/>
      <c r="K220" s="13" t="s">
        <v>979</v>
      </c>
      <c r="L220" s="13" t="s">
        <v>217</v>
      </c>
      <c r="M220" s="13" t="s">
        <v>218</v>
      </c>
      <c r="N220" s="13" t="s">
        <v>980</v>
      </c>
      <c r="O220" s="7"/>
    </row>
    <row r="221" s="3" customFormat="1" customHeight="1" spans="1:15">
      <c r="A221" s="13" t="s">
        <v>981</v>
      </c>
      <c r="B221" s="13" t="s">
        <v>981</v>
      </c>
      <c r="C221" s="13" t="s">
        <v>981</v>
      </c>
      <c r="D221" s="13" t="s">
        <v>981</v>
      </c>
      <c r="E221" s="13" t="s">
        <v>300</v>
      </c>
      <c r="F221" s="13" t="s">
        <v>214</v>
      </c>
      <c r="G221" s="13"/>
      <c r="H221" s="13" t="s">
        <v>982</v>
      </c>
      <c r="I221" s="13"/>
      <c r="J221" s="13"/>
      <c r="K221" s="13" t="s">
        <v>983</v>
      </c>
      <c r="L221" s="13" t="s">
        <v>311</v>
      </c>
      <c r="M221" s="13" t="s">
        <v>218</v>
      </c>
      <c r="N221" s="13" t="s">
        <v>984</v>
      </c>
      <c r="O221" s="7"/>
    </row>
    <row r="222" s="3" customFormat="1" customHeight="1" spans="1:15">
      <c r="A222" s="13" t="s">
        <v>985</v>
      </c>
      <c r="B222" s="13" t="s">
        <v>985</v>
      </c>
      <c r="C222" s="13" t="s">
        <v>985</v>
      </c>
      <c r="D222" s="13" t="s">
        <v>985</v>
      </c>
      <c r="E222" s="13" t="s">
        <v>300</v>
      </c>
      <c r="F222" s="13" t="s">
        <v>214</v>
      </c>
      <c r="G222" s="13"/>
      <c r="H222" s="13" t="s">
        <v>986</v>
      </c>
      <c r="I222" s="13"/>
      <c r="J222" s="13"/>
      <c r="K222" s="13" t="s">
        <v>987</v>
      </c>
      <c r="L222" s="13" t="s">
        <v>311</v>
      </c>
      <c r="M222" s="13" t="s">
        <v>218</v>
      </c>
      <c r="N222" s="13" t="s">
        <v>988</v>
      </c>
      <c r="O222" s="7"/>
    </row>
    <row r="223" s="3" customFormat="1" customHeight="1" spans="1:15">
      <c r="A223" s="13" t="s">
        <v>989</v>
      </c>
      <c r="B223" s="13" t="s">
        <v>989</v>
      </c>
      <c r="C223" s="13" t="s">
        <v>989</v>
      </c>
      <c r="D223" s="13" t="s">
        <v>989</v>
      </c>
      <c r="E223" s="13" t="s">
        <v>300</v>
      </c>
      <c r="F223" s="13" t="s">
        <v>214</v>
      </c>
      <c r="G223" s="13"/>
      <c r="H223" s="13" t="s">
        <v>990</v>
      </c>
      <c r="I223" s="13"/>
      <c r="J223" s="13"/>
      <c r="K223" s="13" t="s">
        <v>987</v>
      </c>
      <c r="L223" s="13" t="s">
        <v>311</v>
      </c>
      <c r="M223" s="13" t="s">
        <v>218</v>
      </c>
      <c r="N223" s="13" t="s">
        <v>950</v>
      </c>
      <c r="O223" s="7"/>
    </row>
    <row r="224" s="3" customFormat="1" customHeight="1" spans="1:15">
      <c r="A224" s="13" t="s">
        <v>991</v>
      </c>
      <c r="B224" s="13" t="s">
        <v>991</v>
      </c>
      <c r="C224" s="13" t="s">
        <v>991</v>
      </c>
      <c r="D224" s="13" t="s">
        <v>991</v>
      </c>
      <c r="E224" s="13" t="s">
        <v>300</v>
      </c>
      <c r="F224" s="13" t="s">
        <v>214</v>
      </c>
      <c r="G224" s="13"/>
      <c r="H224" s="13" t="s">
        <v>992</v>
      </c>
      <c r="I224" s="13"/>
      <c r="J224" s="13"/>
      <c r="K224" s="13" t="s">
        <v>987</v>
      </c>
      <c r="L224" s="13" t="s">
        <v>311</v>
      </c>
      <c r="M224" s="13" t="s">
        <v>218</v>
      </c>
      <c r="N224" s="13" t="s">
        <v>993</v>
      </c>
      <c r="O224" s="7"/>
    </row>
    <row r="225" s="3" customFormat="1" customHeight="1" spans="1:15">
      <c r="A225" s="13" t="s">
        <v>994</v>
      </c>
      <c r="B225" s="13" t="s">
        <v>994</v>
      </c>
      <c r="C225" s="13" t="s">
        <v>994</v>
      </c>
      <c r="D225" s="13" t="s">
        <v>994</v>
      </c>
      <c r="E225" s="13" t="s">
        <v>300</v>
      </c>
      <c r="F225" s="13" t="s">
        <v>214</v>
      </c>
      <c r="G225" s="13"/>
      <c r="H225" s="13" t="s">
        <v>995</v>
      </c>
      <c r="I225" s="13"/>
      <c r="J225" s="13"/>
      <c r="K225" s="13" t="s">
        <v>996</v>
      </c>
      <c r="L225" s="13" t="s">
        <v>217</v>
      </c>
      <c r="M225" s="13" t="s">
        <v>218</v>
      </c>
      <c r="N225" s="13" t="s">
        <v>997</v>
      </c>
      <c r="O225" s="7"/>
    </row>
    <row r="226" s="3" customFormat="1" customHeight="1" spans="1:15">
      <c r="A226" s="13" t="s">
        <v>998</v>
      </c>
      <c r="B226" s="13" t="s">
        <v>998</v>
      </c>
      <c r="C226" s="13" t="s">
        <v>998</v>
      </c>
      <c r="D226" s="13" t="s">
        <v>998</v>
      </c>
      <c r="E226" s="13" t="s">
        <v>300</v>
      </c>
      <c r="F226" s="13" t="s">
        <v>214</v>
      </c>
      <c r="G226" s="13"/>
      <c r="H226" s="13" t="s">
        <v>999</v>
      </c>
      <c r="I226" s="13"/>
      <c r="J226" s="13"/>
      <c r="K226" s="13" t="s">
        <v>1000</v>
      </c>
      <c r="L226" s="13" t="s">
        <v>239</v>
      </c>
      <c r="M226" s="13" t="s">
        <v>218</v>
      </c>
      <c r="N226" s="13" t="s">
        <v>1001</v>
      </c>
      <c r="O226" s="7"/>
    </row>
    <row r="227" s="3" customFormat="1" customHeight="1" spans="1:15">
      <c r="A227" s="13" t="s">
        <v>1002</v>
      </c>
      <c r="B227" s="13" t="s">
        <v>1002</v>
      </c>
      <c r="C227" s="13" t="s">
        <v>1002</v>
      </c>
      <c r="D227" s="13" t="s">
        <v>1002</v>
      </c>
      <c r="E227" s="13" t="s">
        <v>300</v>
      </c>
      <c r="F227" s="13" t="s">
        <v>214</v>
      </c>
      <c r="G227" s="13"/>
      <c r="H227" s="13" t="s">
        <v>1003</v>
      </c>
      <c r="I227" s="13"/>
      <c r="J227" s="13"/>
      <c r="K227" s="13" t="s">
        <v>1000</v>
      </c>
      <c r="L227" s="13" t="s">
        <v>239</v>
      </c>
      <c r="M227" s="13" t="s">
        <v>218</v>
      </c>
      <c r="N227" s="13" t="s">
        <v>1001</v>
      </c>
      <c r="O227" s="7"/>
    </row>
    <row r="228" s="3" customFormat="1" customHeight="1" spans="1:15">
      <c r="A228" s="13" t="s">
        <v>1004</v>
      </c>
      <c r="B228" s="13" t="s">
        <v>1004</v>
      </c>
      <c r="C228" s="13" t="s">
        <v>1004</v>
      </c>
      <c r="D228" s="13" t="s">
        <v>1004</v>
      </c>
      <c r="E228" s="13" t="s">
        <v>300</v>
      </c>
      <c r="F228" s="13" t="s">
        <v>214</v>
      </c>
      <c r="G228" s="13"/>
      <c r="H228" s="13" t="s">
        <v>1005</v>
      </c>
      <c r="I228" s="13"/>
      <c r="J228" s="13"/>
      <c r="K228" s="13" t="s">
        <v>1006</v>
      </c>
      <c r="L228" s="13" t="s">
        <v>287</v>
      </c>
      <c r="M228" s="13" t="s">
        <v>218</v>
      </c>
      <c r="N228" s="13" t="s">
        <v>1007</v>
      </c>
      <c r="O228" s="7"/>
    </row>
    <row r="229" s="3" customFormat="1" customHeight="1" spans="1:15">
      <c r="A229" s="13" t="s">
        <v>1008</v>
      </c>
      <c r="B229" s="13" t="s">
        <v>1008</v>
      </c>
      <c r="C229" s="13" t="s">
        <v>1008</v>
      </c>
      <c r="D229" s="13" t="s">
        <v>1008</v>
      </c>
      <c r="E229" s="13" t="s">
        <v>300</v>
      </c>
      <c r="F229" s="13" t="s">
        <v>214</v>
      </c>
      <c r="G229" s="13"/>
      <c r="H229" s="13" t="s">
        <v>1009</v>
      </c>
      <c r="I229" s="13"/>
      <c r="J229" s="13"/>
      <c r="K229" s="13" t="s">
        <v>1010</v>
      </c>
      <c r="L229" s="13" t="s">
        <v>282</v>
      </c>
      <c r="M229" s="13" t="s">
        <v>218</v>
      </c>
      <c r="N229" s="13" t="s">
        <v>1011</v>
      </c>
      <c r="O229" s="7"/>
    </row>
    <row r="230" s="3" customFormat="1" customHeight="1" spans="1:15">
      <c r="A230" s="13" t="s">
        <v>1012</v>
      </c>
      <c r="B230" s="13" t="s">
        <v>1012</v>
      </c>
      <c r="C230" s="13" t="s">
        <v>1012</v>
      </c>
      <c r="D230" s="13" t="s">
        <v>1012</v>
      </c>
      <c r="E230" s="13" t="s">
        <v>300</v>
      </c>
      <c r="F230" s="13" t="s">
        <v>214</v>
      </c>
      <c r="G230" s="13"/>
      <c r="H230" s="13" t="s">
        <v>1013</v>
      </c>
      <c r="I230" s="13"/>
      <c r="J230" s="13"/>
      <c r="K230" s="13" t="s">
        <v>1014</v>
      </c>
      <c r="L230" s="13" t="s">
        <v>217</v>
      </c>
      <c r="M230" s="13" t="s">
        <v>218</v>
      </c>
      <c r="N230" s="13" t="s">
        <v>1015</v>
      </c>
      <c r="O230" s="7"/>
    </row>
    <row r="231" s="3" customFormat="1" customHeight="1" spans="1:15">
      <c r="A231" s="13" t="s">
        <v>1016</v>
      </c>
      <c r="B231" s="13" t="s">
        <v>1016</v>
      </c>
      <c r="C231" s="13" t="s">
        <v>1016</v>
      </c>
      <c r="D231" s="13" t="s">
        <v>1016</v>
      </c>
      <c r="E231" s="13" t="s">
        <v>300</v>
      </c>
      <c r="F231" s="13" t="s">
        <v>214</v>
      </c>
      <c r="G231" s="13"/>
      <c r="H231" s="13" t="s">
        <v>1017</v>
      </c>
      <c r="I231" s="13"/>
      <c r="J231" s="13"/>
      <c r="K231" s="13" t="s">
        <v>1018</v>
      </c>
      <c r="L231" s="13" t="s">
        <v>217</v>
      </c>
      <c r="M231" s="13" t="s">
        <v>218</v>
      </c>
      <c r="N231" s="13" t="s">
        <v>1019</v>
      </c>
      <c r="O231" s="7"/>
    </row>
    <row r="232" s="3" customFormat="1" customHeight="1" spans="1:15">
      <c r="A232" s="13" t="s">
        <v>1020</v>
      </c>
      <c r="B232" s="13" t="s">
        <v>1020</v>
      </c>
      <c r="C232" s="13" t="s">
        <v>1020</v>
      </c>
      <c r="D232" s="13" t="s">
        <v>1020</v>
      </c>
      <c r="E232" s="13" t="s">
        <v>300</v>
      </c>
      <c r="F232" s="13" t="s">
        <v>214</v>
      </c>
      <c r="G232" s="13"/>
      <c r="H232" s="13" t="s">
        <v>1021</v>
      </c>
      <c r="I232" s="13"/>
      <c r="J232" s="13"/>
      <c r="K232" s="13" t="s">
        <v>1022</v>
      </c>
      <c r="L232" s="13" t="s">
        <v>217</v>
      </c>
      <c r="M232" s="13" t="s">
        <v>218</v>
      </c>
      <c r="N232" s="13" t="s">
        <v>1023</v>
      </c>
      <c r="O232" s="7"/>
    </row>
    <row r="233" s="3" customFormat="1" customHeight="1" spans="1:15">
      <c r="A233" s="13" t="s">
        <v>1024</v>
      </c>
      <c r="B233" s="13" t="s">
        <v>1024</v>
      </c>
      <c r="C233" s="13" t="s">
        <v>1024</v>
      </c>
      <c r="D233" s="13" t="s">
        <v>1024</v>
      </c>
      <c r="E233" s="13" t="s">
        <v>300</v>
      </c>
      <c r="F233" s="13" t="s">
        <v>214</v>
      </c>
      <c r="G233" s="13"/>
      <c r="H233" s="13" t="s">
        <v>1025</v>
      </c>
      <c r="I233" s="13"/>
      <c r="J233" s="13"/>
      <c r="K233" s="13" t="s">
        <v>1026</v>
      </c>
      <c r="L233" s="13" t="s">
        <v>217</v>
      </c>
      <c r="M233" s="13" t="s">
        <v>218</v>
      </c>
      <c r="N233" s="13" t="s">
        <v>1027</v>
      </c>
      <c r="O233" s="7"/>
    </row>
    <row r="234" s="3" customFormat="1" customHeight="1" spans="1:15">
      <c r="A234" s="13" t="s">
        <v>1028</v>
      </c>
      <c r="B234" s="13" t="s">
        <v>1028</v>
      </c>
      <c r="C234" s="13" t="s">
        <v>1028</v>
      </c>
      <c r="D234" s="13" t="s">
        <v>1028</v>
      </c>
      <c r="E234" s="13" t="s">
        <v>1028</v>
      </c>
      <c r="F234" s="13" t="s">
        <v>214</v>
      </c>
      <c r="G234" s="13"/>
      <c r="H234" s="13" t="s">
        <v>1029</v>
      </c>
      <c r="I234" s="13"/>
      <c r="J234" s="13"/>
      <c r="K234" s="13" t="s">
        <v>1030</v>
      </c>
      <c r="L234" s="13" t="s">
        <v>217</v>
      </c>
      <c r="M234" s="13" t="s">
        <v>218</v>
      </c>
      <c r="N234" s="13" t="s">
        <v>1031</v>
      </c>
      <c r="O234" s="7"/>
    </row>
    <row r="235" s="3" customFormat="1" customHeight="1" spans="1:15">
      <c r="A235" s="13" t="s">
        <v>1032</v>
      </c>
      <c r="B235" s="13" t="s">
        <v>1032</v>
      </c>
      <c r="C235" s="13" t="s">
        <v>1032</v>
      </c>
      <c r="D235" s="13" t="s">
        <v>1032</v>
      </c>
      <c r="E235" s="13" t="s">
        <v>300</v>
      </c>
      <c r="F235" s="13" t="s">
        <v>214</v>
      </c>
      <c r="G235" s="13"/>
      <c r="H235" s="13" t="s">
        <v>1033</v>
      </c>
      <c r="I235" s="13"/>
      <c r="J235" s="13"/>
      <c r="K235" s="13" t="s">
        <v>1034</v>
      </c>
      <c r="L235" s="13" t="s">
        <v>217</v>
      </c>
      <c r="M235" s="13" t="s">
        <v>218</v>
      </c>
      <c r="N235" s="13" t="s">
        <v>1035</v>
      </c>
      <c r="O235" s="7"/>
    </row>
    <row r="236" s="3" customFormat="1" customHeight="1" spans="1:15">
      <c r="A236" s="13" t="s">
        <v>1036</v>
      </c>
      <c r="B236" s="13" t="s">
        <v>1036</v>
      </c>
      <c r="C236" s="13" t="s">
        <v>1036</v>
      </c>
      <c r="D236" s="13" t="s">
        <v>1036</v>
      </c>
      <c r="E236" s="13" t="s">
        <v>300</v>
      </c>
      <c r="F236" s="13" t="s">
        <v>214</v>
      </c>
      <c r="G236" s="13"/>
      <c r="H236" s="13" t="s">
        <v>1037</v>
      </c>
      <c r="I236" s="13"/>
      <c r="J236" s="13"/>
      <c r="K236" s="13" t="s">
        <v>1038</v>
      </c>
      <c r="L236" s="13" t="s">
        <v>1039</v>
      </c>
      <c r="M236" s="13" t="s">
        <v>218</v>
      </c>
      <c r="N236" s="13" t="s">
        <v>1040</v>
      </c>
      <c r="O236" s="7"/>
    </row>
    <row r="237" s="3" customFormat="1" customHeight="1" spans="1:15">
      <c r="A237" s="13" t="s">
        <v>1041</v>
      </c>
      <c r="B237" s="13" t="s">
        <v>1041</v>
      </c>
      <c r="C237" s="13" t="s">
        <v>1041</v>
      </c>
      <c r="D237" s="13" t="s">
        <v>1041</v>
      </c>
      <c r="E237" s="13" t="s">
        <v>300</v>
      </c>
      <c r="F237" s="13" t="s">
        <v>214</v>
      </c>
      <c r="G237" s="13"/>
      <c r="H237" s="13" t="s">
        <v>1042</v>
      </c>
      <c r="I237" s="13"/>
      <c r="J237" s="13"/>
      <c r="K237" s="13" t="s">
        <v>1043</v>
      </c>
      <c r="L237" s="13" t="s">
        <v>249</v>
      </c>
      <c r="M237" s="13" t="s">
        <v>218</v>
      </c>
      <c r="N237" s="13" t="s">
        <v>1044</v>
      </c>
      <c r="O237" s="7"/>
    </row>
    <row r="238" s="3" customFormat="1" customHeight="1" spans="1:15">
      <c r="A238" s="13" t="s">
        <v>1045</v>
      </c>
      <c r="B238" s="13" t="s">
        <v>1045</v>
      </c>
      <c r="C238" s="13" t="s">
        <v>1045</v>
      </c>
      <c r="D238" s="13" t="s">
        <v>1045</v>
      </c>
      <c r="E238" s="13" t="s">
        <v>300</v>
      </c>
      <c r="F238" s="13" t="s">
        <v>214</v>
      </c>
      <c r="G238" s="13"/>
      <c r="H238" s="13" t="s">
        <v>1046</v>
      </c>
      <c r="I238" s="13"/>
      <c r="J238" s="13"/>
      <c r="K238" s="13" t="s">
        <v>1047</v>
      </c>
      <c r="L238" s="13" t="s">
        <v>235</v>
      </c>
      <c r="M238" s="13" t="s">
        <v>218</v>
      </c>
      <c r="N238" s="13" t="s">
        <v>1048</v>
      </c>
      <c r="O238" s="7"/>
    </row>
    <row r="239" s="3" customFormat="1" customHeight="1" spans="1:15">
      <c r="A239" s="13" t="s">
        <v>1049</v>
      </c>
      <c r="B239" s="13" t="s">
        <v>1049</v>
      </c>
      <c r="C239" s="13" t="s">
        <v>1049</v>
      </c>
      <c r="D239" s="13" t="s">
        <v>1049</v>
      </c>
      <c r="E239" s="13" t="s">
        <v>300</v>
      </c>
      <c r="F239" s="13" t="s">
        <v>214</v>
      </c>
      <c r="G239" s="13"/>
      <c r="H239" s="13" t="s">
        <v>1050</v>
      </c>
      <c r="I239" s="13"/>
      <c r="J239" s="13"/>
      <c r="K239" s="13" t="s">
        <v>1051</v>
      </c>
      <c r="L239" s="13" t="s">
        <v>249</v>
      </c>
      <c r="M239" s="13" t="s">
        <v>218</v>
      </c>
      <c r="N239" s="13">
        <v>32824</v>
      </c>
      <c r="O239" s="7"/>
    </row>
    <row r="240" s="3" customFormat="1" customHeight="1" spans="1:15">
      <c r="A240" s="13" t="s">
        <v>1052</v>
      </c>
      <c r="B240" s="13" t="s">
        <v>1052</v>
      </c>
      <c r="C240" s="13" t="s">
        <v>1052</v>
      </c>
      <c r="D240" s="13" t="s">
        <v>1052</v>
      </c>
      <c r="E240" s="13" t="s">
        <v>300</v>
      </c>
      <c r="F240" s="13" t="s">
        <v>214</v>
      </c>
      <c r="G240" s="13"/>
      <c r="H240" s="13" t="s">
        <v>1053</v>
      </c>
      <c r="I240" s="13"/>
      <c r="J240" s="13"/>
      <c r="K240" s="13" t="s">
        <v>1054</v>
      </c>
      <c r="L240" s="13" t="s">
        <v>287</v>
      </c>
      <c r="M240" s="13" t="s">
        <v>218</v>
      </c>
      <c r="N240" s="13" t="s">
        <v>1055</v>
      </c>
      <c r="O240" s="7"/>
    </row>
    <row r="241" s="3" customFormat="1" customHeight="1" spans="1:15">
      <c r="A241" s="13" t="s">
        <v>1056</v>
      </c>
      <c r="B241" s="13" t="s">
        <v>1056</v>
      </c>
      <c r="C241" s="13" t="s">
        <v>1056</v>
      </c>
      <c r="D241" s="13" t="s">
        <v>1056</v>
      </c>
      <c r="E241" s="13" t="s">
        <v>300</v>
      </c>
      <c r="F241" s="13" t="s">
        <v>214</v>
      </c>
      <c r="G241" s="13"/>
      <c r="H241" s="13" t="s">
        <v>1057</v>
      </c>
      <c r="I241" s="13"/>
      <c r="J241" s="13"/>
      <c r="K241" s="13" t="s">
        <v>1058</v>
      </c>
      <c r="L241" s="13" t="s">
        <v>343</v>
      </c>
      <c r="M241" s="13" t="s">
        <v>218</v>
      </c>
      <c r="N241" s="13" t="s">
        <v>454</v>
      </c>
      <c r="O241" s="7"/>
    </row>
    <row r="242" s="3" customFormat="1" customHeight="1" spans="1:15">
      <c r="A242" s="13" t="s">
        <v>1059</v>
      </c>
      <c r="B242" s="13" t="s">
        <v>1059</v>
      </c>
      <c r="C242" s="13" t="s">
        <v>1059</v>
      </c>
      <c r="D242" s="13" t="s">
        <v>1059</v>
      </c>
      <c r="E242" s="13" t="s">
        <v>300</v>
      </c>
      <c r="F242" s="13" t="s">
        <v>214</v>
      </c>
      <c r="G242" s="13"/>
      <c r="H242" s="13" t="s">
        <v>1060</v>
      </c>
      <c r="I242" s="13"/>
      <c r="J242" s="13"/>
      <c r="K242" s="13" t="s">
        <v>1061</v>
      </c>
      <c r="L242" s="13" t="s">
        <v>278</v>
      </c>
      <c r="M242" s="13" t="s">
        <v>218</v>
      </c>
      <c r="N242" s="13" t="s">
        <v>1062</v>
      </c>
      <c r="O242" s="7"/>
    </row>
    <row r="243" s="3" customFormat="1" customHeight="1" spans="1:15">
      <c r="A243" s="13" t="s">
        <v>1063</v>
      </c>
      <c r="B243" s="13" t="s">
        <v>1063</v>
      </c>
      <c r="C243" s="13" t="s">
        <v>1063</v>
      </c>
      <c r="D243" s="13" t="s">
        <v>1063</v>
      </c>
      <c r="E243" s="13" t="s">
        <v>300</v>
      </c>
      <c r="F243" s="13" t="s">
        <v>214</v>
      </c>
      <c r="G243" s="13"/>
      <c r="H243" s="13" t="s">
        <v>1064</v>
      </c>
      <c r="I243" s="13"/>
      <c r="J243" s="13"/>
      <c r="K243" s="13" t="s">
        <v>1061</v>
      </c>
      <c r="L243" s="13" t="s">
        <v>278</v>
      </c>
      <c r="M243" s="13" t="s">
        <v>218</v>
      </c>
      <c r="N243" s="13" t="s">
        <v>1065</v>
      </c>
      <c r="O243" s="7"/>
    </row>
    <row r="244" s="3" customFormat="1" customHeight="1" spans="1:15">
      <c r="A244" s="13" t="s">
        <v>1066</v>
      </c>
      <c r="B244" s="13" t="s">
        <v>1066</v>
      </c>
      <c r="C244" s="13" t="s">
        <v>1066</v>
      </c>
      <c r="D244" s="13" t="s">
        <v>1066</v>
      </c>
      <c r="E244" s="13" t="s">
        <v>300</v>
      </c>
      <c r="F244" s="13" t="s">
        <v>214</v>
      </c>
      <c r="G244" s="13"/>
      <c r="H244" s="13" t="s">
        <v>1067</v>
      </c>
      <c r="I244" s="13"/>
      <c r="J244" s="13"/>
      <c r="K244" s="13" t="s">
        <v>1068</v>
      </c>
      <c r="L244" s="13" t="s">
        <v>278</v>
      </c>
      <c r="M244" s="13" t="s">
        <v>218</v>
      </c>
      <c r="N244" s="13" t="s">
        <v>1069</v>
      </c>
      <c r="O244" s="7"/>
    </row>
    <row r="245" s="3" customFormat="1" customHeight="1" spans="1:15">
      <c r="A245" s="13" t="s">
        <v>1070</v>
      </c>
      <c r="B245" s="13" t="s">
        <v>1070</v>
      </c>
      <c r="C245" s="13" t="s">
        <v>1070</v>
      </c>
      <c r="D245" s="13" t="s">
        <v>1070</v>
      </c>
      <c r="E245" s="13" t="s">
        <v>300</v>
      </c>
      <c r="F245" s="13" t="s">
        <v>214</v>
      </c>
      <c r="G245" s="13"/>
      <c r="H245" s="13" t="s">
        <v>1071</v>
      </c>
      <c r="I245" s="13"/>
      <c r="J245" s="13"/>
      <c r="K245" s="13" t="s">
        <v>1072</v>
      </c>
      <c r="L245" s="13" t="s">
        <v>278</v>
      </c>
      <c r="M245" s="13" t="s">
        <v>218</v>
      </c>
      <c r="N245" s="13" t="s">
        <v>1073</v>
      </c>
      <c r="O245" s="7"/>
    </row>
    <row r="246" s="3" customFormat="1" customHeight="1" spans="1:15">
      <c r="A246" s="13" t="s">
        <v>1074</v>
      </c>
      <c r="B246" s="13" t="s">
        <v>1074</v>
      </c>
      <c r="C246" s="13" t="s">
        <v>1074</v>
      </c>
      <c r="D246" s="13" t="s">
        <v>1074</v>
      </c>
      <c r="E246" s="13" t="s">
        <v>300</v>
      </c>
      <c r="F246" s="13" t="s">
        <v>214</v>
      </c>
      <c r="G246" s="13"/>
      <c r="H246" s="13" t="s">
        <v>1075</v>
      </c>
      <c r="I246" s="13"/>
      <c r="J246" s="13"/>
      <c r="K246" s="13" t="s">
        <v>1076</v>
      </c>
      <c r="L246" s="13" t="s">
        <v>278</v>
      </c>
      <c r="M246" s="13" t="s">
        <v>218</v>
      </c>
      <c r="N246" s="13" t="s">
        <v>1077</v>
      </c>
      <c r="O246" s="7"/>
    </row>
    <row r="247" s="3" customFormat="1" customHeight="1" spans="1:15">
      <c r="A247" s="13" t="s">
        <v>1078</v>
      </c>
      <c r="B247" s="13" t="s">
        <v>1078</v>
      </c>
      <c r="C247" s="13" t="s">
        <v>1078</v>
      </c>
      <c r="D247" s="13" t="s">
        <v>1078</v>
      </c>
      <c r="E247" s="13" t="s">
        <v>300</v>
      </c>
      <c r="F247" s="13" t="s">
        <v>214</v>
      </c>
      <c r="G247" s="13"/>
      <c r="H247" s="13" t="s">
        <v>1079</v>
      </c>
      <c r="I247" s="13"/>
      <c r="J247" s="13"/>
      <c r="K247" s="13" t="s">
        <v>731</v>
      </c>
      <c r="L247" s="13" t="s">
        <v>278</v>
      </c>
      <c r="M247" s="13" t="s">
        <v>218</v>
      </c>
      <c r="N247" s="13" t="s">
        <v>1080</v>
      </c>
      <c r="O247" s="7"/>
    </row>
    <row r="248" s="3" customFormat="1" customHeight="1" spans="1:15">
      <c r="A248" s="13" t="s">
        <v>1081</v>
      </c>
      <c r="B248" s="13" t="s">
        <v>1081</v>
      </c>
      <c r="C248" s="13" t="s">
        <v>1081</v>
      </c>
      <c r="D248" s="13" t="s">
        <v>1081</v>
      </c>
      <c r="E248" s="13" t="s">
        <v>300</v>
      </c>
      <c r="F248" s="13" t="s">
        <v>214</v>
      </c>
      <c r="G248" s="13"/>
      <c r="H248" s="13" t="s">
        <v>1082</v>
      </c>
      <c r="I248" s="13"/>
      <c r="J248" s="13"/>
      <c r="K248" s="13" t="s">
        <v>1083</v>
      </c>
      <c r="L248" s="13" t="s">
        <v>386</v>
      </c>
      <c r="M248" s="13" t="s">
        <v>218</v>
      </c>
      <c r="N248" s="13" t="s">
        <v>1084</v>
      </c>
      <c r="O248" s="7"/>
    </row>
    <row r="249" s="3" customFormat="1" customHeight="1" spans="1:15">
      <c r="A249" s="13" t="s">
        <v>1085</v>
      </c>
      <c r="B249" s="13" t="s">
        <v>1085</v>
      </c>
      <c r="C249" s="13" t="s">
        <v>1085</v>
      </c>
      <c r="D249" s="13" t="s">
        <v>1085</v>
      </c>
      <c r="E249" s="13" t="s">
        <v>300</v>
      </c>
      <c r="F249" s="13" t="s">
        <v>214</v>
      </c>
      <c r="G249" s="13"/>
      <c r="H249" s="13" t="s">
        <v>1086</v>
      </c>
      <c r="I249" s="13"/>
      <c r="J249" s="13"/>
      <c r="K249" s="13" t="s">
        <v>1087</v>
      </c>
      <c r="L249" s="13" t="s">
        <v>253</v>
      </c>
      <c r="M249" s="13" t="s">
        <v>218</v>
      </c>
      <c r="N249" s="13" t="s">
        <v>1088</v>
      </c>
      <c r="O249" s="7"/>
    </row>
    <row r="250" s="3" customFormat="1" customHeight="1" spans="1:15">
      <c r="A250" s="13" t="s">
        <v>1089</v>
      </c>
      <c r="B250" s="13" t="s">
        <v>1089</v>
      </c>
      <c r="C250" s="13" t="s">
        <v>1089</v>
      </c>
      <c r="D250" s="13" t="s">
        <v>1089</v>
      </c>
      <c r="E250" s="13" t="s">
        <v>300</v>
      </c>
      <c r="F250" s="13" t="s">
        <v>214</v>
      </c>
      <c r="G250" s="13"/>
      <c r="H250" s="13" t="s">
        <v>1090</v>
      </c>
      <c r="I250" s="13"/>
      <c r="J250" s="13"/>
      <c r="K250" s="13" t="s">
        <v>1091</v>
      </c>
      <c r="L250" s="13" t="s">
        <v>386</v>
      </c>
      <c r="M250" s="13" t="s">
        <v>218</v>
      </c>
      <c r="N250" s="13" t="s">
        <v>1092</v>
      </c>
      <c r="O250" s="7"/>
    </row>
    <row r="251" s="3" customFormat="1" customHeight="1" spans="1:15">
      <c r="A251" s="13" t="s">
        <v>1093</v>
      </c>
      <c r="B251" s="13" t="s">
        <v>1093</v>
      </c>
      <c r="C251" s="13" t="s">
        <v>1093</v>
      </c>
      <c r="D251" s="13" t="s">
        <v>1093</v>
      </c>
      <c r="E251" s="13" t="s">
        <v>300</v>
      </c>
      <c r="F251" s="13" t="s">
        <v>214</v>
      </c>
      <c r="G251" s="13"/>
      <c r="H251" s="13" t="s">
        <v>1094</v>
      </c>
      <c r="I251" s="13"/>
      <c r="J251" s="13"/>
      <c r="K251" s="13" t="s">
        <v>460</v>
      </c>
      <c r="L251" s="13" t="s">
        <v>268</v>
      </c>
      <c r="M251" s="13" t="s">
        <v>218</v>
      </c>
      <c r="N251" s="13" t="s">
        <v>1095</v>
      </c>
      <c r="O251" s="7"/>
    </row>
    <row r="252" s="3" customFormat="1" customHeight="1" spans="1:15">
      <c r="A252" s="13" t="s">
        <v>1096</v>
      </c>
      <c r="B252" s="13" t="s">
        <v>1096</v>
      </c>
      <c r="C252" s="13" t="s">
        <v>1096</v>
      </c>
      <c r="D252" s="13" t="s">
        <v>1096</v>
      </c>
      <c r="E252" s="13" t="s">
        <v>300</v>
      </c>
      <c r="F252" s="13" t="s">
        <v>214</v>
      </c>
      <c r="G252" s="13"/>
      <c r="H252" s="13" t="s">
        <v>1097</v>
      </c>
      <c r="I252" s="13"/>
      <c r="J252" s="13"/>
      <c r="K252" s="13" t="s">
        <v>457</v>
      </c>
      <c r="L252" s="13" t="s">
        <v>268</v>
      </c>
      <c r="M252" s="13" t="s">
        <v>218</v>
      </c>
      <c r="N252" s="13" t="s">
        <v>1098</v>
      </c>
      <c r="O252" s="7"/>
    </row>
    <row r="253" s="3" customFormat="1" customHeight="1" spans="1:15">
      <c r="A253" s="13" t="s">
        <v>1099</v>
      </c>
      <c r="B253" s="13" t="s">
        <v>1099</v>
      </c>
      <c r="C253" s="13" t="s">
        <v>1099</v>
      </c>
      <c r="D253" s="13" t="s">
        <v>1099</v>
      </c>
      <c r="E253" s="13" t="s">
        <v>300</v>
      </c>
      <c r="F253" s="13" t="s">
        <v>214</v>
      </c>
      <c r="G253" s="13"/>
      <c r="H253" s="13" t="s">
        <v>1100</v>
      </c>
      <c r="I253" s="13"/>
      <c r="J253" s="13"/>
      <c r="K253" s="13" t="s">
        <v>1101</v>
      </c>
      <c r="L253" s="13" t="s">
        <v>249</v>
      </c>
      <c r="M253" s="13" t="s">
        <v>218</v>
      </c>
      <c r="N253" s="13" t="s">
        <v>1102</v>
      </c>
      <c r="O253" s="7"/>
    </row>
    <row r="254" s="3" customFormat="1" customHeight="1" spans="1:15">
      <c r="A254" s="13" t="s">
        <v>1103</v>
      </c>
      <c r="B254" s="13" t="s">
        <v>1103</v>
      </c>
      <c r="C254" s="13" t="s">
        <v>1103</v>
      </c>
      <c r="D254" s="13" t="s">
        <v>1103</v>
      </c>
      <c r="E254" s="13" t="s">
        <v>300</v>
      </c>
      <c r="F254" s="13" t="s">
        <v>214</v>
      </c>
      <c r="G254" s="13"/>
      <c r="H254" s="13" t="s">
        <v>1104</v>
      </c>
      <c r="I254" s="13"/>
      <c r="J254" s="13"/>
      <c r="K254" s="13" t="s">
        <v>1105</v>
      </c>
      <c r="L254" s="13" t="s">
        <v>249</v>
      </c>
      <c r="M254" s="13" t="s">
        <v>218</v>
      </c>
      <c r="N254" s="13" t="s">
        <v>1106</v>
      </c>
      <c r="O254" s="7"/>
    </row>
    <row r="255" s="3" customFormat="1" customHeight="1" spans="1:15">
      <c r="A255" s="13" t="s">
        <v>1107</v>
      </c>
      <c r="B255" s="13" t="s">
        <v>1107</v>
      </c>
      <c r="C255" s="13" t="s">
        <v>1107</v>
      </c>
      <c r="D255" s="13" t="s">
        <v>1107</v>
      </c>
      <c r="E255" s="13" t="s">
        <v>300</v>
      </c>
      <c r="F255" s="13" t="s">
        <v>214</v>
      </c>
      <c r="G255" s="13"/>
      <c r="H255" s="13" t="s">
        <v>1108</v>
      </c>
      <c r="I255" s="13"/>
      <c r="J255" s="13"/>
      <c r="K255" s="13" t="s">
        <v>1109</v>
      </c>
      <c r="L255" s="13" t="s">
        <v>235</v>
      </c>
      <c r="M255" s="13" t="s">
        <v>218</v>
      </c>
      <c r="N255" s="13" t="s">
        <v>1110</v>
      </c>
      <c r="O255" s="7"/>
    </row>
    <row r="256" s="3" customFormat="1" customHeight="1" spans="1:15">
      <c r="A256" s="13" t="s">
        <v>1111</v>
      </c>
      <c r="B256" s="13" t="s">
        <v>1111</v>
      </c>
      <c r="C256" s="13" t="s">
        <v>1111</v>
      </c>
      <c r="D256" s="13" t="s">
        <v>1111</v>
      </c>
      <c r="E256" s="13" t="s">
        <v>300</v>
      </c>
      <c r="F256" s="13" t="s">
        <v>214</v>
      </c>
      <c r="G256" s="13"/>
      <c r="H256" s="13" t="s">
        <v>1112</v>
      </c>
      <c r="I256" s="13"/>
      <c r="J256" s="13"/>
      <c r="K256" s="13" t="s">
        <v>1113</v>
      </c>
      <c r="L256" s="13" t="s">
        <v>235</v>
      </c>
      <c r="M256" s="13" t="s">
        <v>218</v>
      </c>
      <c r="N256" s="13" t="s">
        <v>1114</v>
      </c>
      <c r="O256" s="7"/>
    </row>
    <row r="257" s="3" customFormat="1" customHeight="1" spans="1:15">
      <c r="A257" s="13" t="s">
        <v>1115</v>
      </c>
      <c r="B257" s="13" t="s">
        <v>1115</v>
      </c>
      <c r="C257" s="13" t="s">
        <v>1115</v>
      </c>
      <c r="D257" s="13" t="s">
        <v>1115</v>
      </c>
      <c r="E257" s="13" t="s">
        <v>300</v>
      </c>
      <c r="F257" s="13" t="s">
        <v>214</v>
      </c>
      <c r="G257" s="13"/>
      <c r="H257" s="13" t="s">
        <v>1116</v>
      </c>
      <c r="I257" s="13"/>
      <c r="J257" s="13"/>
      <c r="K257" s="13" t="s">
        <v>1117</v>
      </c>
      <c r="L257" s="13" t="s">
        <v>965</v>
      </c>
      <c r="M257" s="13" t="s">
        <v>218</v>
      </c>
      <c r="N257" s="13" t="s">
        <v>1118</v>
      </c>
      <c r="O257" s="7"/>
    </row>
    <row r="258" s="3" customFormat="1" customHeight="1" spans="1:15">
      <c r="A258" s="13" t="s">
        <v>1119</v>
      </c>
      <c r="B258" s="13" t="s">
        <v>1119</v>
      </c>
      <c r="C258" s="13" t="s">
        <v>1119</v>
      </c>
      <c r="D258" s="13" t="s">
        <v>1119</v>
      </c>
      <c r="E258" s="13" t="s">
        <v>300</v>
      </c>
      <c r="F258" s="13" t="s">
        <v>214</v>
      </c>
      <c r="G258" s="13"/>
      <c r="H258" s="13" t="s">
        <v>1120</v>
      </c>
      <c r="I258" s="13"/>
      <c r="J258" s="13"/>
      <c r="K258" s="13" t="s">
        <v>1121</v>
      </c>
      <c r="L258" s="13" t="s">
        <v>965</v>
      </c>
      <c r="M258" s="13" t="s">
        <v>218</v>
      </c>
      <c r="N258" s="13" t="s">
        <v>1122</v>
      </c>
      <c r="O258" s="7"/>
    </row>
    <row r="259" s="3" customFormat="1" customHeight="1" spans="1:15">
      <c r="A259" s="13" t="s">
        <v>1123</v>
      </c>
      <c r="B259" s="13" t="s">
        <v>1123</v>
      </c>
      <c r="C259" s="13" t="s">
        <v>1123</v>
      </c>
      <c r="D259" s="13" t="s">
        <v>1123</v>
      </c>
      <c r="E259" s="13" t="s">
        <v>300</v>
      </c>
      <c r="F259" s="13" t="s">
        <v>214</v>
      </c>
      <c r="G259" s="13"/>
      <c r="H259" s="13" t="s">
        <v>1124</v>
      </c>
      <c r="I259" s="13"/>
      <c r="J259" s="13"/>
      <c r="K259" s="13" t="s">
        <v>1125</v>
      </c>
      <c r="L259" s="13" t="s">
        <v>257</v>
      </c>
      <c r="M259" s="13" t="s">
        <v>218</v>
      </c>
      <c r="N259" s="13" t="s">
        <v>1126</v>
      </c>
      <c r="O259" s="7"/>
    </row>
    <row r="260" s="3" customFormat="1" customHeight="1" spans="1:15">
      <c r="A260" s="13" t="s">
        <v>1127</v>
      </c>
      <c r="B260" s="13" t="s">
        <v>1127</v>
      </c>
      <c r="C260" s="13" t="s">
        <v>1127</v>
      </c>
      <c r="D260" s="13" t="s">
        <v>1127</v>
      </c>
      <c r="E260" s="13" t="s">
        <v>300</v>
      </c>
      <c r="F260" s="13" t="s">
        <v>214</v>
      </c>
      <c r="G260" s="13"/>
      <c r="H260" s="13" t="s">
        <v>1128</v>
      </c>
      <c r="I260" s="13"/>
      <c r="J260" s="13"/>
      <c r="K260" s="13" t="s">
        <v>1129</v>
      </c>
      <c r="L260" s="13" t="s">
        <v>257</v>
      </c>
      <c r="M260" s="13" t="s">
        <v>218</v>
      </c>
      <c r="N260" s="13" t="s">
        <v>1130</v>
      </c>
      <c r="O260" s="7"/>
    </row>
    <row r="261" s="3" customFormat="1" customHeight="1" spans="1:15">
      <c r="A261" s="13" t="s">
        <v>1131</v>
      </c>
      <c r="B261" s="13" t="s">
        <v>1131</v>
      </c>
      <c r="C261" s="13" t="s">
        <v>1131</v>
      </c>
      <c r="D261" s="13" t="s">
        <v>1131</v>
      </c>
      <c r="E261" s="13" t="s">
        <v>300</v>
      </c>
      <c r="F261" s="13" t="s">
        <v>214</v>
      </c>
      <c r="G261" s="13"/>
      <c r="H261" s="13" t="s">
        <v>1132</v>
      </c>
      <c r="I261" s="13"/>
      <c r="J261" s="13"/>
      <c r="K261" s="13" t="s">
        <v>1133</v>
      </c>
      <c r="L261" s="13" t="s">
        <v>1134</v>
      </c>
      <c r="M261" s="13" t="s">
        <v>218</v>
      </c>
      <c r="N261" s="13" t="s">
        <v>1135</v>
      </c>
      <c r="O261" s="7"/>
    </row>
    <row r="262" s="3" customFormat="1" customHeight="1" spans="1:15">
      <c r="A262" s="13" t="s">
        <v>1136</v>
      </c>
      <c r="B262" s="13" t="s">
        <v>1136</v>
      </c>
      <c r="C262" s="13" t="s">
        <v>1136</v>
      </c>
      <c r="D262" s="13" t="s">
        <v>1136</v>
      </c>
      <c r="E262" s="13" t="s">
        <v>300</v>
      </c>
      <c r="F262" s="13" t="s">
        <v>214</v>
      </c>
      <c r="G262" s="13"/>
      <c r="H262" s="13" t="s">
        <v>1137</v>
      </c>
      <c r="I262" s="13"/>
      <c r="J262" s="13"/>
      <c r="K262" s="13" t="s">
        <v>1138</v>
      </c>
      <c r="L262" s="13" t="s">
        <v>217</v>
      </c>
      <c r="M262" s="13" t="s">
        <v>218</v>
      </c>
      <c r="N262" s="13" t="s">
        <v>1139</v>
      </c>
      <c r="O262" s="7"/>
    </row>
    <row r="263" s="3" customFormat="1" customHeight="1" spans="1:15">
      <c r="A263" s="13" t="s">
        <v>1140</v>
      </c>
      <c r="B263" s="13" t="s">
        <v>1140</v>
      </c>
      <c r="C263" s="13" t="s">
        <v>1140</v>
      </c>
      <c r="D263" s="13" t="s">
        <v>1140</v>
      </c>
      <c r="E263" s="13" t="s">
        <v>300</v>
      </c>
      <c r="F263" s="13" t="s">
        <v>214</v>
      </c>
      <c r="G263" s="13"/>
      <c r="H263" s="13" t="s">
        <v>1141</v>
      </c>
      <c r="I263" s="13"/>
      <c r="J263" s="13"/>
      <c r="K263" s="13" t="s">
        <v>1142</v>
      </c>
      <c r="L263" s="13" t="s">
        <v>217</v>
      </c>
      <c r="M263" s="13" t="s">
        <v>218</v>
      </c>
      <c r="N263" s="13" t="s">
        <v>1143</v>
      </c>
      <c r="O263" s="7"/>
    </row>
    <row r="264" s="3" customFormat="1" customHeight="1" spans="1:15">
      <c r="A264" s="13" t="s">
        <v>1144</v>
      </c>
      <c r="B264" s="13" t="s">
        <v>1144</v>
      </c>
      <c r="C264" s="13" t="s">
        <v>1144</v>
      </c>
      <c r="D264" s="13" t="s">
        <v>1144</v>
      </c>
      <c r="E264" s="13" t="s">
        <v>300</v>
      </c>
      <c r="F264" s="13" t="s">
        <v>214</v>
      </c>
      <c r="G264" s="13"/>
      <c r="H264" s="13" t="s">
        <v>1145</v>
      </c>
      <c r="I264" s="13"/>
      <c r="J264" s="13"/>
      <c r="K264" s="13" t="s">
        <v>1018</v>
      </c>
      <c r="L264" s="13" t="s">
        <v>217</v>
      </c>
      <c r="M264" s="13" t="s">
        <v>218</v>
      </c>
      <c r="N264" s="13" t="s">
        <v>1146</v>
      </c>
      <c r="O264" s="7"/>
    </row>
    <row r="265" s="3" customFormat="1" customHeight="1" spans="1:15">
      <c r="A265" s="13" t="s">
        <v>1147</v>
      </c>
      <c r="B265" s="13" t="s">
        <v>1147</v>
      </c>
      <c r="C265" s="13" t="s">
        <v>1147</v>
      </c>
      <c r="D265" s="13" t="s">
        <v>1147</v>
      </c>
      <c r="E265" s="13" t="s">
        <v>300</v>
      </c>
      <c r="F265" s="13" t="s">
        <v>214</v>
      </c>
      <c r="G265" s="13"/>
      <c r="H265" s="13" t="s">
        <v>1148</v>
      </c>
      <c r="I265" s="13"/>
      <c r="J265" s="13"/>
      <c r="K265" s="13" t="s">
        <v>1149</v>
      </c>
      <c r="L265" s="13" t="s">
        <v>1150</v>
      </c>
      <c r="M265" s="13" t="s">
        <v>218</v>
      </c>
      <c r="N265" s="13" t="s">
        <v>1151</v>
      </c>
      <c r="O265" s="7"/>
    </row>
    <row r="266" s="3" customFormat="1" customHeight="1" spans="1:15">
      <c r="A266" s="13" t="s">
        <v>1152</v>
      </c>
      <c r="B266" s="13" t="s">
        <v>1152</v>
      </c>
      <c r="C266" s="13" t="s">
        <v>1152</v>
      </c>
      <c r="D266" s="13" t="s">
        <v>1152</v>
      </c>
      <c r="E266" s="13" t="s">
        <v>300</v>
      </c>
      <c r="F266" s="13" t="s">
        <v>214</v>
      </c>
      <c r="G266" s="13"/>
      <c r="H266" s="13" t="s">
        <v>1153</v>
      </c>
      <c r="I266" s="13"/>
      <c r="J266" s="13"/>
      <c r="K266" s="13" t="s">
        <v>1149</v>
      </c>
      <c r="L266" s="13" t="s">
        <v>1150</v>
      </c>
      <c r="M266" s="13" t="s">
        <v>218</v>
      </c>
      <c r="N266" s="13" t="s">
        <v>1151</v>
      </c>
      <c r="O266" s="7"/>
    </row>
    <row r="267" s="3" customFormat="1" customHeight="1" spans="1:15">
      <c r="A267" s="13" t="s">
        <v>1154</v>
      </c>
      <c r="B267" s="13" t="s">
        <v>1154</v>
      </c>
      <c r="C267" s="13" t="s">
        <v>1154</v>
      </c>
      <c r="D267" s="13" t="s">
        <v>1154</v>
      </c>
      <c r="E267" s="13" t="s">
        <v>300</v>
      </c>
      <c r="F267" s="13" t="s">
        <v>214</v>
      </c>
      <c r="G267" s="13"/>
      <c r="H267" s="13" t="s">
        <v>1155</v>
      </c>
      <c r="I267" s="13"/>
      <c r="J267" s="13"/>
      <c r="K267" s="13" t="s">
        <v>1156</v>
      </c>
      <c r="L267" s="13" t="s">
        <v>217</v>
      </c>
      <c r="M267" s="13" t="s">
        <v>218</v>
      </c>
      <c r="N267" s="13" t="s">
        <v>1157</v>
      </c>
      <c r="O267" s="7"/>
    </row>
    <row r="268" s="3" customFormat="1" customHeight="1" spans="1:15">
      <c r="A268" s="13" t="s">
        <v>1158</v>
      </c>
      <c r="B268" s="13" t="s">
        <v>1158</v>
      </c>
      <c r="C268" s="13" t="s">
        <v>1158</v>
      </c>
      <c r="D268" s="13" t="s">
        <v>1158</v>
      </c>
      <c r="E268" s="13" t="s">
        <v>300</v>
      </c>
      <c r="F268" s="13" t="s">
        <v>214</v>
      </c>
      <c r="G268" s="13"/>
      <c r="H268" s="13" t="s">
        <v>1159</v>
      </c>
      <c r="I268" s="13"/>
      <c r="J268" s="13"/>
      <c r="K268" s="13" t="s">
        <v>1160</v>
      </c>
      <c r="L268" s="13" t="s">
        <v>217</v>
      </c>
      <c r="M268" s="13" t="s">
        <v>218</v>
      </c>
      <c r="N268" s="13" t="s">
        <v>1161</v>
      </c>
      <c r="O268" s="7"/>
    </row>
    <row r="269" s="3" customFormat="1" customHeight="1" spans="1:15">
      <c r="A269" s="13" t="s">
        <v>1162</v>
      </c>
      <c r="B269" s="13" t="s">
        <v>1162</v>
      </c>
      <c r="C269" s="13" t="s">
        <v>1162</v>
      </c>
      <c r="D269" s="13" t="s">
        <v>1162</v>
      </c>
      <c r="E269" s="13" t="s">
        <v>300</v>
      </c>
      <c r="F269" s="13" t="s">
        <v>214</v>
      </c>
      <c r="G269" s="13"/>
      <c r="H269" s="13" t="s">
        <v>1163</v>
      </c>
      <c r="I269" s="13"/>
      <c r="J269" s="13"/>
      <c r="K269" s="13" t="s">
        <v>1018</v>
      </c>
      <c r="L269" s="13" t="s">
        <v>217</v>
      </c>
      <c r="M269" s="13" t="s">
        <v>218</v>
      </c>
      <c r="N269" s="13" t="s">
        <v>1164</v>
      </c>
      <c r="O269" s="7"/>
    </row>
    <row r="270" s="3" customFormat="1" customHeight="1" spans="1:15">
      <c r="A270" s="13" t="s">
        <v>1165</v>
      </c>
      <c r="B270" s="13" t="s">
        <v>1165</v>
      </c>
      <c r="C270" s="13" t="s">
        <v>1165</v>
      </c>
      <c r="D270" s="13" t="s">
        <v>1165</v>
      </c>
      <c r="E270" s="13" t="s">
        <v>300</v>
      </c>
      <c r="F270" s="13" t="s">
        <v>214</v>
      </c>
      <c r="G270" s="13"/>
      <c r="H270" s="13" t="s">
        <v>1166</v>
      </c>
      <c r="I270" s="13"/>
      <c r="J270" s="13"/>
      <c r="K270" s="13" t="s">
        <v>1160</v>
      </c>
      <c r="L270" s="13" t="s">
        <v>217</v>
      </c>
      <c r="M270" s="13" t="s">
        <v>218</v>
      </c>
      <c r="N270" s="13" t="s">
        <v>1167</v>
      </c>
      <c r="O270" s="7"/>
    </row>
    <row r="271" s="3" customFormat="1" customHeight="1" spans="1:15">
      <c r="A271" s="13" t="s">
        <v>1168</v>
      </c>
      <c r="B271" s="13" t="s">
        <v>1168</v>
      </c>
      <c r="C271" s="13" t="s">
        <v>1168</v>
      </c>
      <c r="D271" s="13" t="s">
        <v>1168</v>
      </c>
      <c r="E271" s="13" t="s">
        <v>300</v>
      </c>
      <c r="F271" s="13" t="s">
        <v>214</v>
      </c>
      <c r="G271" s="13"/>
      <c r="H271" s="13" t="s">
        <v>1169</v>
      </c>
      <c r="I271" s="13"/>
      <c r="J271" s="13"/>
      <c r="K271" s="13" t="s">
        <v>1018</v>
      </c>
      <c r="L271" s="13" t="s">
        <v>217</v>
      </c>
      <c r="M271" s="13" t="s">
        <v>218</v>
      </c>
      <c r="N271" s="13" t="s">
        <v>1164</v>
      </c>
      <c r="O271" s="7"/>
    </row>
    <row r="272" s="3" customFormat="1" customHeight="1" spans="1:15">
      <c r="A272" s="13" t="s">
        <v>1170</v>
      </c>
      <c r="B272" s="13" t="s">
        <v>1170</v>
      </c>
      <c r="C272" s="13" t="s">
        <v>1170</v>
      </c>
      <c r="D272" s="13" t="s">
        <v>1170</v>
      </c>
      <c r="E272" s="13" t="s">
        <v>300</v>
      </c>
      <c r="F272" s="13" t="s">
        <v>214</v>
      </c>
      <c r="G272" s="13"/>
      <c r="H272" s="13" t="s">
        <v>1171</v>
      </c>
      <c r="I272" s="13"/>
      <c r="J272" s="13"/>
      <c r="K272" s="13" t="s">
        <v>1172</v>
      </c>
      <c r="L272" s="13" t="s">
        <v>278</v>
      </c>
      <c r="M272" s="13" t="s">
        <v>218</v>
      </c>
      <c r="N272" s="13" t="s">
        <v>1173</v>
      </c>
      <c r="O272" s="7"/>
    </row>
    <row r="273" s="3" customFormat="1" customHeight="1" spans="1:15">
      <c r="A273" s="13" t="s">
        <v>1174</v>
      </c>
      <c r="B273" s="13" t="s">
        <v>1174</v>
      </c>
      <c r="C273" s="13" t="s">
        <v>1174</v>
      </c>
      <c r="D273" s="13" t="s">
        <v>1174</v>
      </c>
      <c r="E273" s="13" t="s">
        <v>300</v>
      </c>
      <c r="F273" s="13" t="s">
        <v>214</v>
      </c>
      <c r="G273" s="13"/>
      <c r="H273" s="13" t="s">
        <v>1175</v>
      </c>
      <c r="I273" s="13"/>
      <c r="J273" s="13"/>
      <c r="K273" s="13" t="s">
        <v>1176</v>
      </c>
      <c r="L273" s="13" t="s">
        <v>278</v>
      </c>
      <c r="M273" s="13" t="s">
        <v>218</v>
      </c>
      <c r="N273" s="13" t="s">
        <v>1177</v>
      </c>
      <c r="O273" s="7"/>
    </row>
    <row r="274" s="3" customFormat="1" customHeight="1" spans="1:15">
      <c r="A274" s="13" t="s">
        <v>1178</v>
      </c>
      <c r="B274" s="13" t="s">
        <v>1178</v>
      </c>
      <c r="C274" s="13" t="s">
        <v>1178</v>
      </c>
      <c r="D274" s="13" t="s">
        <v>1178</v>
      </c>
      <c r="E274" s="13" t="s">
        <v>300</v>
      </c>
      <c r="F274" s="13" t="s">
        <v>214</v>
      </c>
      <c r="G274" s="13"/>
      <c r="H274" s="13" t="s">
        <v>1179</v>
      </c>
      <c r="I274" s="13"/>
      <c r="J274" s="13"/>
      <c r="K274" s="13" t="s">
        <v>1142</v>
      </c>
      <c r="L274" s="13" t="s">
        <v>217</v>
      </c>
      <c r="M274" s="13" t="s">
        <v>218</v>
      </c>
      <c r="N274" s="13" t="s">
        <v>1143</v>
      </c>
      <c r="O274" s="7"/>
    </row>
    <row r="275" s="3" customFormat="1" customHeight="1" spans="1:15">
      <c r="A275" s="13" t="s">
        <v>1180</v>
      </c>
      <c r="B275" s="13" t="s">
        <v>1180</v>
      </c>
      <c r="C275" s="13" t="s">
        <v>1180</v>
      </c>
      <c r="D275" s="13" t="s">
        <v>1180</v>
      </c>
      <c r="E275" s="13" t="s">
        <v>300</v>
      </c>
      <c r="F275" s="13" t="s">
        <v>214</v>
      </c>
      <c r="G275" s="13"/>
      <c r="H275" s="13" t="s">
        <v>1181</v>
      </c>
      <c r="I275" s="13"/>
      <c r="J275" s="13"/>
      <c r="K275" s="13" t="s">
        <v>1182</v>
      </c>
      <c r="L275" s="13" t="s">
        <v>264</v>
      </c>
      <c r="M275" s="13" t="s">
        <v>218</v>
      </c>
      <c r="N275" s="13" t="s">
        <v>1183</v>
      </c>
      <c r="O275" s="7"/>
    </row>
    <row r="276" s="3" customFormat="1" customHeight="1" spans="1:15">
      <c r="A276" s="13" t="s">
        <v>1184</v>
      </c>
      <c r="B276" s="13" t="s">
        <v>1184</v>
      </c>
      <c r="C276" s="13" t="s">
        <v>1184</v>
      </c>
      <c r="D276" s="13" t="s">
        <v>1184</v>
      </c>
      <c r="E276" s="13" t="s">
        <v>300</v>
      </c>
      <c r="F276" s="13" t="s">
        <v>214</v>
      </c>
      <c r="G276" s="13"/>
      <c r="H276" s="13" t="s">
        <v>1185</v>
      </c>
      <c r="I276" s="13"/>
      <c r="J276" s="13"/>
      <c r="K276" s="13" t="s">
        <v>1186</v>
      </c>
      <c r="L276" s="13" t="s">
        <v>1187</v>
      </c>
      <c r="M276" s="13" t="s">
        <v>218</v>
      </c>
      <c r="N276" s="13" t="s">
        <v>1188</v>
      </c>
      <c r="O276" s="7"/>
    </row>
    <row r="277" s="3" customFormat="1" customHeight="1" spans="1:15">
      <c r="A277" s="13" t="s">
        <v>1189</v>
      </c>
      <c r="B277" s="13" t="s">
        <v>1189</v>
      </c>
      <c r="C277" s="13" t="s">
        <v>1189</v>
      </c>
      <c r="D277" s="13" t="s">
        <v>1189</v>
      </c>
      <c r="E277" s="13" t="s">
        <v>300</v>
      </c>
      <c r="F277" s="13" t="s">
        <v>214</v>
      </c>
      <c r="G277" s="13"/>
      <c r="H277" s="13" t="s">
        <v>1190</v>
      </c>
      <c r="I277" s="13"/>
      <c r="J277" s="13"/>
      <c r="K277" s="13" t="s">
        <v>1191</v>
      </c>
      <c r="L277" s="13" t="s">
        <v>1187</v>
      </c>
      <c r="M277" s="13" t="s">
        <v>218</v>
      </c>
      <c r="N277" s="13" t="s">
        <v>1192</v>
      </c>
      <c r="O277" s="7"/>
    </row>
    <row r="278" s="3" customFormat="1" customHeight="1" spans="1:15">
      <c r="A278" s="13" t="s">
        <v>1193</v>
      </c>
      <c r="B278" s="13" t="s">
        <v>1193</v>
      </c>
      <c r="C278" s="13" t="s">
        <v>1193</v>
      </c>
      <c r="D278" s="13" t="s">
        <v>1193</v>
      </c>
      <c r="E278" s="13" t="s">
        <v>300</v>
      </c>
      <c r="F278" s="13" t="s">
        <v>214</v>
      </c>
      <c r="G278" s="13"/>
      <c r="H278" s="13" t="s">
        <v>1194</v>
      </c>
      <c r="I278" s="13"/>
      <c r="J278" s="13"/>
      <c r="K278" s="13" t="s">
        <v>1195</v>
      </c>
      <c r="L278" s="13" t="s">
        <v>1187</v>
      </c>
      <c r="M278" s="13" t="s">
        <v>218</v>
      </c>
      <c r="N278" s="13" t="s">
        <v>1196</v>
      </c>
      <c r="O278" s="7"/>
    </row>
    <row r="279" s="3" customFormat="1" customHeight="1" spans="1:15">
      <c r="A279" s="13" t="s">
        <v>1197</v>
      </c>
      <c r="B279" s="13" t="s">
        <v>1197</v>
      </c>
      <c r="C279" s="13" t="s">
        <v>1197</v>
      </c>
      <c r="D279" s="13" t="s">
        <v>1197</v>
      </c>
      <c r="E279" s="13" t="s">
        <v>300</v>
      </c>
      <c r="F279" s="13" t="s">
        <v>214</v>
      </c>
      <c r="G279" s="13"/>
      <c r="H279" s="13" t="s">
        <v>1198</v>
      </c>
      <c r="I279" s="13"/>
      <c r="J279" s="13"/>
      <c r="K279" s="13" t="s">
        <v>1199</v>
      </c>
      <c r="L279" s="13" t="s">
        <v>1200</v>
      </c>
      <c r="M279" s="13" t="s">
        <v>218</v>
      </c>
      <c r="N279" s="13" t="s">
        <v>1201</v>
      </c>
      <c r="O279" s="7"/>
    </row>
    <row r="280" s="3" customFormat="1" customHeight="1" spans="1:15">
      <c r="A280" s="13" t="s">
        <v>1202</v>
      </c>
      <c r="B280" s="13" t="s">
        <v>1202</v>
      </c>
      <c r="C280" s="13" t="s">
        <v>1202</v>
      </c>
      <c r="D280" s="13" t="s">
        <v>1202</v>
      </c>
      <c r="E280" s="13" t="s">
        <v>300</v>
      </c>
      <c r="F280" s="13" t="s">
        <v>214</v>
      </c>
      <c r="G280" s="13"/>
      <c r="H280" s="13" t="s">
        <v>1203</v>
      </c>
      <c r="I280" s="13"/>
      <c r="J280" s="13"/>
      <c r="K280" s="13" t="s">
        <v>1199</v>
      </c>
      <c r="L280" s="13" t="s">
        <v>1200</v>
      </c>
      <c r="M280" s="13" t="s">
        <v>218</v>
      </c>
      <c r="N280" s="13" t="s">
        <v>1201</v>
      </c>
      <c r="O280" s="7"/>
    </row>
    <row r="281" s="3" customFormat="1" customHeight="1" spans="1:15">
      <c r="A281" s="13" t="s">
        <v>1204</v>
      </c>
      <c r="B281" s="13" t="s">
        <v>1204</v>
      </c>
      <c r="C281" s="13" t="s">
        <v>1204</v>
      </c>
      <c r="D281" s="13" t="s">
        <v>1204</v>
      </c>
      <c r="E281" s="13" t="s">
        <v>300</v>
      </c>
      <c r="F281" s="13" t="s">
        <v>214</v>
      </c>
      <c r="G281" s="13"/>
      <c r="H281" s="13" t="s">
        <v>1205</v>
      </c>
      <c r="I281" s="13"/>
      <c r="J281" s="13"/>
      <c r="K281" s="13" t="s">
        <v>1054</v>
      </c>
      <c r="L281" s="13" t="s">
        <v>287</v>
      </c>
      <c r="M281" s="13" t="s">
        <v>218</v>
      </c>
      <c r="N281" s="13" t="s">
        <v>1206</v>
      </c>
      <c r="O281" s="7"/>
    </row>
    <row r="282" s="3" customFormat="1" customHeight="1" spans="1:15">
      <c r="A282" s="13" t="s">
        <v>1207</v>
      </c>
      <c r="B282" s="13" t="s">
        <v>1207</v>
      </c>
      <c r="C282" s="13" t="s">
        <v>1207</v>
      </c>
      <c r="D282" s="13" t="s">
        <v>1207</v>
      </c>
      <c r="E282" s="13" t="s">
        <v>300</v>
      </c>
      <c r="F282" s="13" t="s">
        <v>214</v>
      </c>
      <c r="G282" s="13"/>
      <c r="H282" s="13" t="s">
        <v>1208</v>
      </c>
      <c r="I282" s="13"/>
      <c r="J282" s="13"/>
      <c r="K282" s="13" t="s">
        <v>1209</v>
      </c>
      <c r="L282" s="13" t="s">
        <v>287</v>
      </c>
      <c r="M282" s="13" t="s">
        <v>218</v>
      </c>
      <c r="N282" s="13" t="s">
        <v>1210</v>
      </c>
      <c r="O282" s="7"/>
    </row>
    <row r="283" s="3" customFormat="1" customHeight="1" spans="1:15">
      <c r="A283" s="13" t="s">
        <v>1211</v>
      </c>
      <c r="B283" s="13" t="s">
        <v>1211</v>
      </c>
      <c r="C283" s="13" t="s">
        <v>1211</v>
      </c>
      <c r="D283" s="13" t="s">
        <v>1211</v>
      </c>
      <c r="E283" s="13" t="s">
        <v>300</v>
      </c>
      <c r="F283" s="13" t="s">
        <v>214</v>
      </c>
      <c r="G283" s="13"/>
      <c r="H283" s="13" t="s">
        <v>1212</v>
      </c>
      <c r="I283" s="13"/>
      <c r="J283" s="13"/>
      <c r="K283" s="13" t="s">
        <v>1054</v>
      </c>
      <c r="L283" s="13" t="s">
        <v>287</v>
      </c>
      <c r="M283" s="13" t="s">
        <v>218</v>
      </c>
      <c r="N283" s="13" t="s">
        <v>1213</v>
      </c>
      <c r="O283" s="7"/>
    </row>
    <row r="284" s="3" customFormat="1" customHeight="1" spans="1:15">
      <c r="A284" s="13" t="s">
        <v>1214</v>
      </c>
      <c r="B284" s="13" t="s">
        <v>1214</v>
      </c>
      <c r="C284" s="13" t="s">
        <v>1214</v>
      </c>
      <c r="D284" s="13" t="s">
        <v>1214</v>
      </c>
      <c r="E284" s="13" t="s">
        <v>300</v>
      </c>
      <c r="F284" s="13" t="s">
        <v>214</v>
      </c>
      <c r="G284" s="13"/>
      <c r="H284" s="13" t="s">
        <v>1215</v>
      </c>
      <c r="I284" s="13"/>
      <c r="J284" s="13"/>
      <c r="K284" s="13" t="s">
        <v>1216</v>
      </c>
      <c r="L284" s="13" t="s">
        <v>1200</v>
      </c>
      <c r="M284" s="13" t="s">
        <v>218</v>
      </c>
      <c r="N284" s="13" t="s">
        <v>1217</v>
      </c>
      <c r="O284" s="7"/>
    </row>
    <row r="285" s="3" customFormat="1" customHeight="1" spans="1:15">
      <c r="A285" s="13" t="s">
        <v>1218</v>
      </c>
      <c r="B285" s="13" t="s">
        <v>1218</v>
      </c>
      <c r="C285" s="13" t="s">
        <v>1218</v>
      </c>
      <c r="D285" s="13" t="s">
        <v>1218</v>
      </c>
      <c r="E285" s="13" t="s">
        <v>300</v>
      </c>
      <c r="F285" s="13" t="s">
        <v>214</v>
      </c>
      <c r="G285" s="13"/>
      <c r="H285" s="13" t="s">
        <v>1219</v>
      </c>
      <c r="I285" s="13"/>
      <c r="J285" s="13"/>
      <c r="K285" s="13" t="s">
        <v>1216</v>
      </c>
      <c r="L285" s="13" t="s">
        <v>1200</v>
      </c>
      <c r="M285" s="13" t="s">
        <v>218</v>
      </c>
      <c r="N285" s="13" t="s">
        <v>1217</v>
      </c>
      <c r="O285" s="7"/>
    </row>
    <row r="286" s="3" customFormat="1" customHeight="1" spans="1:15">
      <c r="A286" s="13" t="s">
        <v>1220</v>
      </c>
      <c r="B286" s="13" t="s">
        <v>1220</v>
      </c>
      <c r="C286" s="13" t="s">
        <v>1220</v>
      </c>
      <c r="D286" s="13" t="s">
        <v>1220</v>
      </c>
      <c r="E286" s="13" t="s">
        <v>300</v>
      </c>
      <c r="F286" s="13" t="s">
        <v>214</v>
      </c>
      <c r="G286" s="13"/>
      <c r="H286" s="13" t="s">
        <v>1221</v>
      </c>
      <c r="I286" s="13"/>
      <c r="J286" s="13"/>
      <c r="K286" s="13" t="s">
        <v>317</v>
      </c>
      <c r="L286" s="13" t="s">
        <v>224</v>
      </c>
      <c r="M286" s="13" t="s">
        <v>218</v>
      </c>
      <c r="N286" s="13" t="s">
        <v>1222</v>
      </c>
      <c r="O286" s="7"/>
    </row>
    <row r="287" s="3" customFormat="1" customHeight="1" spans="1:15">
      <c r="A287" s="13" t="s">
        <v>1223</v>
      </c>
      <c r="B287" s="13" t="s">
        <v>1223</v>
      </c>
      <c r="C287" s="13" t="s">
        <v>1223</v>
      </c>
      <c r="D287" s="13" t="s">
        <v>1223</v>
      </c>
      <c r="E287" s="13" t="s">
        <v>300</v>
      </c>
      <c r="F287" s="13" t="s">
        <v>214</v>
      </c>
      <c r="G287" s="13"/>
      <c r="H287" s="13" t="s">
        <v>1224</v>
      </c>
      <c r="I287" s="13"/>
      <c r="J287" s="13"/>
      <c r="K287" s="13" t="s">
        <v>1225</v>
      </c>
      <c r="L287" s="13" t="s">
        <v>224</v>
      </c>
      <c r="M287" s="13" t="s">
        <v>218</v>
      </c>
      <c r="N287" s="13" t="s">
        <v>1226</v>
      </c>
      <c r="O287" s="7"/>
    </row>
    <row r="288" s="3" customFormat="1" customHeight="1" spans="1:15">
      <c r="A288" s="13" t="s">
        <v>1227</v>
      </c>
      <c r="B288" s="13" t="s">
        <v>1227</v>
      </c>
      <c r="C288" s="13" t="s">
        <v>1227</v>
      </c>
      <c r="D288" s="13" t="s">
        <v>1227</v>
      </c>
      <c r="E288" s="13" t="s">
        <v>300</v>
      </c>
      <c r="F288" s="13" t="s">
        <v>214</v>
      </c>
      <c r="G288" s="13"/>
      <c r="H288" s="13" t="s">
        <v>1228</v>
      </c>
      <c r="I288" s="13"/>
      <c r="J288" s="13"/>
      <c r="K288" s="13" t="s">
        <v>317</v>
      </c>
      <c r="L288" s="13" t="s">
        <v>224</v>
      </c>
      <c r="M288" s="13" t="s">
        <v>218</v>
      </c>
      <c r="N288" s="13" t="s">
        <v>1229</v>
      </c>
      <c r="O288" s="7"/>
    </row>
    <row r="289" s="3" customFormat="1" customHeight="1" spans="1:15">
      <c r="A289" s="13" t="s">
        <v>1230</v>
      </c>
      <c r="B289" s="13" t="s">
        <v>1230</v>
      </c>
      <c r="C289" s="13" t="s">
        <v>1230</v>
      </c>
      <c r="D289" s="13" t="s">
        <v>1230</v>
      </c>
      <c r="E289" s="13" t="s">
        <v>300</v>
      </c>
      <c r="F289" s="13" t="s">
        <v>214</v>
      </c>
      <c r="G289" s="13"/>
      <c r="H289" s="13" t="s">
        <v>1231</v>
      </c>
      <c r="I289" s="13"/>
      <c r="J289" s="13"/>
      <c r="K289" s="13" t="s">
        <v>317</v>
      </c>
      <c r="L289" s="13" t="s">
        <v>224</v>
      </c>
      <c r="M289" s="13" t="s">
        <v>218</v>
      </c>
      <c r="N289" s="13" t="s">
        <v>1232</v>
      </c>
      <c r="O289" s="7"/>
    </row>
    <row r="290" s="3" customFormat="1" customHeight="1" spans="1:15">
      <c r="A290" s="13" t="s">
        <v>1233</v>
      </c>
      <c r="B290" s="13" t="s">
        <v>1233</v>
      </c>
      <c r="C290" s="13" t="s">
        <v>1233</v>
      </c>
      <c r="D290" s="13" t="s">
        <v>1233</v>
      </c>
      <c r="E290" s="13" t="s">
        <v>300</v>
      </c>
      <c r="F290" s="13" t="s">
        <v>214</v>
      </c>
      <c r="G290" s="13"/>
      <c r="H290" s="13" t="s">
        <v>1234</v>
      </c>
      <c r="I290" s="13"/>
      <c r="J290" s="13"/>
      <c r="K290" s="13" t="s">
        <v>1235</v>
      </c>
      <c r="L290" s="13" t="s">
        <v>287</v>
      </c>
      <c r="M290" s="13" t="s">
        <v>218</v>
      </c>
      <c r="N290" s="13" t="s">
        <v>1236</v>
      </c>
      <c r="O290" s="7"/>
    </row>
    <row r="291" s="3" customFormat="1" customHeight="1" spans="1:15">
      <c r="A291" s="13" t="s">
        <v>1237</v>
      </c>
      <c r="B291" s="13" t="s">
        <v>1237</v>
      </c>
      <c r="C291" s="13" t="s">
        <v>1237</v>
      </c>
      <c r="D291" s="13" t="s">
        <v>1237</v>
      </c>
      <c r="E291" s="13" t="s">
        <v>300</v>
      </c>
      <c r="F291" s="13" t="s">
        <v>214</v>
      </c>
      <c r="G291" s="13"/>
      <c r="H291" s="13" t="s">
        <v>1238</v>
      </c>
      <c r="I291" s="13"/>
      <c r="J291" s="13"/>
      <c r="K291" s="13" t="s">
        <v>1239</v>
      </c>
      <c r="L291" s="13" t="s">
        <v>287</v>
      </c>
      <c r="M291" s="13" t="s">
        <v>218</v>
      </c>
      <c r="N291" s="13" t="s">
        <v>1240</v>
      </c>
      <c r="O291" s="7"/>
    </row>
    <row r="292" s="3" customFormat="1" customHeight="1" spans="1:15">
      <c r="A292" s="13" t="s">
        <v>1241</v>
      </c>
      <c r="B292" s="13" t="s">
        <v>1241</v>
      </c>
      <c r="C292" s="13" t="s">
        <v>1241</v>
      </c>
      <c r="D292" s="13" t="s">
        <v>1241</v>
      </c>
      <c r="E292" s="13" t="s">
        <v>300</v>
      </c>
      <c r="F292" s="13" t="s">
        <v>214</v>
      </c>
      <c r="G292" s="13"/>
      <c r="H292" s="13" t="s">
        <v>1242</v>
      </c>
      <c r="I292" s="13"/>
      <c r="J292" s="13"/>
      <c r="K292" s="13" t="s">
        <v>1243</v>
      </c>
      <c r="L292" s="13" t="s">
        <v>287</v>
      </c>
      <c r="M292" s="13" t="s">
        <v>218</v>
      </c>
      <c r="N292" s="13" t="s">
        <v>1244</v>
      </c>
      <c r="O292" s="7"/>
    </row>
    <row r="293" s="3" customFormat="1" customHeight="1" spans="1:15">
      <c r="A293" s="13" t="s">
        <v>1245</v>
      </c>
      <c r="B293" s="13" t="s">
        <v>1245</v>
      </c>
      <c r="C293" s="13" t="s">
        <v>1245</v>
      </c>
      <c r="D293" s="13" t="s">
        <v>1245</v>
      </c>
      <c r="E293" s="13" t="s">
        <v>300</v>
      </c>
      <c r="F293" s="13" t="s">
        <v>214</v>
      </c>
      <c r="G293" s="13"/>
      <c r="H293" s="13" t="s">
        <v>1246</v>
      </c>
      <c r="I293" s="13"/>
      <c r="J293" s="13"/>
      <c r="K293" s="13" t="s">
        <v>1247</v>
      </c>
      <c r="L293" s="13" t="s">
        <v>414</v>
      </c>
      <c r="M293" s="13" t="s">
        <v>218</v>
      </c>
      <c r="N293" s="13" t="s">
        <v>1248</v>
      </c>
      <c r="O293" s="7"/>
    </row>
    <row r="294" s="3" customFormat="1" customHeight="1" spans="1:15">
      <c r="A294" s="13" t="s">
        <v>1249</v>
      </c>
      <c r="B294" s="13" t="s">
        <v>1249</v>
      </c>
      <c r="C294" s="13" t="s">
        <v>1249</v>
      </c>
      <c r="D294" s="13" t="s">
        <v>1249</v>
      </c>
      <c r="E294" s="13" t="s">
        <v>300</v>
      </c>
      <c r="F294" s="13" t="s">
        <v>214</v>
      </c>
      <c r="G294" s="13"/>
      <c r="H294" s="13" t="s">
        <v>1250</v>
      </c>
      <c r="I294" s="13"/>
      <c r="J294" s="13"/>
      <c r="K294" s="13" t="s">
        <v>1251</v>
      </c>
      <c r="L294" s="13" t="s">
        <v>307</v>
      </c>
      <c r="M294" s="13" t="s">
        <v>218</v>
      </c>
      <c r="N294" s="13" t="s">
        <v>1252</v>
      </c>
      <c r="O294" s="7"/>
    </row>
    <row r="295" s="3" customFormat="1" customHeight="1" spans="1:15">
      <c r="A295" s="13" t="s">
        <v>1253</v>
      </c>
      <c r="B295" s="13" t="s">
        <v>1253</v>
      </c>
      <c r="C295" s="13" t="s">
        <v>1253</v>
      </c>
      <c r="D295" s="13" t="s">
        <v>1253</v>
      </c>
      <c r="E295" s="13" t="s">
        <v>300</v>
      </c>
      <c r="F295" s="13" t="s">
        <v>214</v>
      </c>
      <c r="G295" s="13"/>
      <c r="H295" s="13" t="s">
        <v>1254</v>
      </c>
      <c r="I295" s="13"/>
      <c r="J295" s="13"/>
      <c r="K295" s="13" t="s">
        <v>1255</v>
      </c>
      <c r="L295" s="13" t="s">
        <v>307</v>
      </c>
      <c r="M295" s="13" t="s">
        <v>218</v>
      </c>
      <c r="N295" s="13" t="s">
        <v>1256</v>
      </c>
      <c r="O295" s="7"/>
    </row>
    <row r="296" s="3" customFormat="1" customHeight="1" spans="1:15">
      <c r="A296" s="13" t="s">
        <v>1257</v>
      </c>
      <c r="B296" s="13" t="s">
        <v>1257</v>
      </c>
      <c r="C296" s="13" t="s">
        <v>1257</v>
      </c>
      <c r="D296" s="13" t="s">
        <v>1257</v>
      </c>
      <c r="E296" s="13" t="s">
        <v>300</v>
      </c>
      <c r="F296" s="13" t="s">
        <v>214</v>
      </c>
      <c r="G296" s="13"/>
      <c r="H296" s="13" t="s">
        <v>1258</v>
      </c>
      <c r="I296" s="13"/>
      <c r="J296" s="13"/>
      <c r="K296" s="13" t="s">
        <v>1255</v>
      </c>
      <c r="L296" s="13" t="s">
        <v>307</v>
      </c>
      <c r="M296" s="13" t="s">
        <v>218</v>
      </c>
      <c r="N296" s="13" t="s">
        <v>1256</v>
      </c>
      <c r="O296" s="7"/>
    </row>
    <row r="297" s="3" customFormat="1" customHeight="1" spans="1:15">
      <c r="A297" s="13" t="s">
        <v>1259</v>
      </c>
      <c r="B297" s="13" t="s">
        <v>1259</v>
      </c>
      <c r="C297" s="13" t="s">
        <v>1259</v>
      </c>
      <c r="D297" s="13" t="s">
        <v>1259</v>
      </c>
      <c r="E297" s="13" t="s">
        <v>300</v>
      </c>
      <c r="F297" s="13" t="s">
        <v>214</v>
      </c>
      <c r="G297" s="13"/>
      <c r="H297" s="13" t="s">
        <v>1260</v>
      </c>
      <c r="I297" s="13"/>
      <c r="J297" s="13"/>
      <c r="K297" s="13" t="s">
        <v>1261</v>
      </c>
      <c r="L297" s="13" t="s">
        <v>311</v>
      </c>
      <c r="M297" s="13" t="s">
        <v>218</v>
      </c>
      <c r="N297" s="13" t="s">
        <v>1262</v>
      </c>
      <c r="O297" s="7"/>
    </row>
    <row r="298" s="3" customFormat="1" customHeight="1" spans="1:15">
      <c r="A298" s="13" t="s">
        <v>1263</v>
      </c>
      <c r="B298" s="13" t="s">
        <v>1263</v>
      </c>
      <c r="C298" s="13" t="s">
        <v>1263</v>
      </c>
      <c r="D298" s="13" t="s">
        <v>1263</v>
      </c>
      <c r="E298" s="13" t="s">
        <v>300</v>
      </c>
      <c r="F298" s="13" t="s">
        <v>214</v>
      </c>
      <c r="G298" s="13"/>
      <c r="H298" s="13" t="s">
        <v>1264</v>
      </c>
      <c r="I298" s="13"/>
      <c r="J298" s="13"/>
      <c r="K298" s="13" t="s">
        <v>1265</v>
      </c>
      <c r="L298" s="13" t="s">
        <v>311</v>
      </c>
      <c r="M298" s="13" t="s">
        <v>218</v>
      </c>
      <c r="N298" s="13" t="s">
        <v>1266</v>
      </c>
      <c r="O298" s="7"/>
    </row>
    <row r="299" s="3" customFormat="1" customHeight="1" spans="1:15">
      <c r="A299" s="13" t="s">
        <v>1267</v>
      </c>
      <c r="B299" s="13" t="s">
        <v>1267</v>
      </c>
      <c r="C299" s="13" t="s">
        <v>1267</v>
      </c>
      <c r="D299" s="13" t="s">
        <v>1267</v>
      </c>
      <c r="E299" s="13" t="s">
        <v>300</v>
      </c>
      <c r="F299" s="13" t="s">
        <v>214</v>
      </c>
      <c r="G299" s="13"/>
      <c r="H299" s="13" t="s">
        <v>1264</v>
      </c>
      <c r="I299" s="13"/>
      <c r="J299" s="13"/>
      <c r="K299" s="13" t="s">
        <v>1265</v>
      </c>
      <c r="L299" s="13" t="s">
        <v>311</v>
      </c>
      <c r="M299" s="13" t="s">
        <v>218</v>
      </c>
      <c r="N299" s="13" t="s">
        <v>1268</v>
      </c>
      <c r="O299" s="7"/>
    </row>
    <row r="300" s="3" customFormat="1" customHeight="1" spans="1:15">
      <c r="A300" s="13" t="s">
        <v>1269</v>
      </c>
      <c r="B300" s="13" t="s">
        <v>1269</v>
      </c>
      <c r="C300" s="13" t="s">
        <v>1269</v>
      </c>
      <c r="D300" s="13" t="s">
        <v>1269</v>
      </c>
      <c r="E300" s="13" t="s">
        <v>300</v>
      </c>
      <c r="F300" s="13" t="s">
        <v>214</v>
      </c>
      <c r="G300" s="13"/>
      <c r="H300" s="13" t="s">
        <v>1270</v>
      </c>
      <c r="I300" s="13"/>
      <c r="J300" s="13"/>
      <c r="K300" s="13" t="s">
        <v>1271</v>
      </c>
      <c r="L300" s="13" t="s">
        <v>217</v>
      </c>
      <c r="M300" s="13" t="s">
        <v>218</v>
      </c>
      <c r="N300" s="13" t="s">
        <v>1272</v>
      </c>
      <c r="O300" s="7"/>
    </row>
    <row r="301" s="3" customFormat="1" customHeight="1" spans="1:15">
      <c r="A301" s="13" t="s">
        <v>1273</v>
      </c>
      <c r="B301" s="13" t="s">
        <v>1273</v>
      </c>
      <c r="C301" s="13" t="s">
        <v>1273</v>
      </c>
      <c r="D301" s="13" t="s">
        <v>1273</v>
      </c>
      <c r="E301" s="13" t="s">
        <v>300</v>
      </c>
      <c r="F301" s="13" t="s">
        <v>214</v>
      </c>
      <c r="G301" s="13"/>
      <c r="H301" s="13" t="s">
        <v>1274</v>
      </c>
      <c r="I301" s="13"/>
      <c r="J301" s="13"/>
      <c r="K301" s="13" t="s">
        <v>1275</v>
      </c>
      <c r="L301" s="13" t="s">
        <v>228</v>
      </c>
      <c r="M301" s="13" t="s">
        <v>218</v>
      </c>
      <c r="N301" s="13" t="s">
        <v>1276</v>
      </c>
      <c r="O301" s="7"/>
    </row>
    <row r="302" s="3" customFormat="1" customHeight="1" spans="1:15">
      <c r="A302" s="13" t="s">
        <v>1277</v>
      </c>
      <c r="B302" s="13" t="s">
        <v>1277</v>
      </c>
      <c r="C302" s="13" t="s">
        <v>1277</v>
      </c>
      <c r="D302" s="13" t="s">
        <v>1277</v>
      </c>
      <c r="E302" s="13" t="s">
        <v>300</v>
      </c>
      <c r="F302" s="13" t="s">
        <v>214</v>
      </c>
      <c r="G302" s="13"/>
      <c r="H302" s="13" t="s">
        <v>1278</v>
      </c>
      <c r="I302" s="13"/>
      <c r="J302" s="13"/>
      <c r="K302" s="13" t="s">
        <v>1279</v>
      </c>
      <c r="L302" s="13" t="s">
        <v>228</v>
      </c>
      <c r="M302" s="13" t="s">
        <v>218</v>
      </c>
      <c r="N302" s="13" t="s">
        <v>1280</v>
      </c>
      <c r="O302" s="7"/>
    </row>
    <row r="303" s="3" customFormat="1" customHeight="1" spans="1:15">
      <c r="A303" s="13" t="s">
        <v>1281</v>
      </c>
      <c r="B303" s="13" t="s">
        <v>1281</v>
      </c>
      <c r="C303" s="13" t="s">
        <v>1281</v>
      </c>
      <c r="D303" s="13" t="s">
        <v>1281</v>
      </c>
      <c r="E303" s="13" t="s">
        <v>300</v>
      </c>
      <c r="F303" s="13" t="s">
        <v>214</v>
      </c>
      <c r="G303" s="13"/>
      <c r="H303" s="13" t="s">
        <v>1282</v>
      </c>
      <c r="I303" s="13"/>
      <c r="J303" s="13"/>
      <c r="K303" s="13" t="s">
        <v>1283</v>
      </c>
      <c r="L303" s="13" t="s">
        <v>228</v>
      </c>
      <c r="M303" s="13" t="s">
        <v>218</v>
      </c>
      <c r="N303" s="13" t="s">
        <v>1284</v>
      </c>
      <c r="O303" s="7"/>
    </row>
    <row r="304" s="3" customFormat="1" customHeight="1" spans="1:15">
      <c r="A304" s="13" t="s">
        <v>1285</v>
      </c>
      <c r="B304" s="13" t="s">
        <v>1285</v>
      </c>
      <c r="C304" s="13" t="s">
        <v>1285</v>
      </c>
      <c r="D304" s="13" t="s">
        <v>1285</v>
      </c>
      <c r="E304" s="13" t="s">
        <v>300</v>
      </c>
      <c r="F304" s="13" t="s">
        <v>214</v>
      </c>
      <c r="G304" s="13"/>
      <c r="H304" s="13" t="s">
        <v>1286</v>
      </c>
      <c r="I304" s="13"/>
      <c r="J304" s="13"/>
      <c r="K304" s="13" t="s">
        <v>1287</v>
      </c>
      <c r="L304" s="13" t="s">
        <v>268</v>
      </c>
      <c r="M304" s="13" t="s">
        <v>218</v>
      </c>
      <c r="N304" s="13" t="s">
        <v>1288</v>
      </c>
      <c r="O304" s="7"/>
    </row>
    <row r="305" s="3" customFormat="1" customHeight="1" spans="1:15">
      <c r="A305" s="13" t="s">
        <v>1289</v>
      </c>
      <c r="B305" s="13" t="s">
        <v>1289</v>
      </c>
      <c r="C305" s="13" t="s">
        <v>1289</v>
      </c>
      <c r="D305" s="13" t="s">
        <v>1289</v>
      </c>
      <c r="E305" s="13" t="s">
        <v>300</v>
      </c>
      <c r="F305" s="13" t="s">
        <v>214</v>
      </c>
      <c r="G305" s="13"/>
      <c r="H305" s="13" t="s">
        <v>1290</v>
      </c>
      <c r="I305" s="13"/>
      <c r="J305" s="13"/>
      <c r="K305" s="13" t="s">
        <v>1291</v>
      </c>
      <c r="L305" s="13" t="s">
        <v>217</v>
      </c>
      <c r="M305" s="13" t="s">
        <v>218</v>
      </c>
      <c r="N305" s="13" t="s">
        <v>1292</v>
      </c>
      <c r="O305" s="7"/>
    </row>
    <row r="306" s="3" customFormat="1" customHeight="1" spans="1:15">
      <c r="A306" s="13" t="s">
        <v>1293</v>
      </c>
      <c r="B306" s="13" t="s">
        <v>1293</v>
      </c>
      <c r="C306" s="13" t="s">
        <v>1293</v>
      </c>
      <c r="D306" s="13" t="s">
        <v>1293</v>
      </c>
      <c r="E306" s="13" t="s">
        <v>300</v>
      </c>
      <c r="F306" s="13" t="s">
        <v>214</v>
      </c>
      <c r="G306" s="13"/>
      <c r="H306" s="13" t="s">
        <v>322</v>
      </c>
      <c r="I306" s="13"/>
      <c r="J306" s="13"/>
      <c r="K306" s="13" t="s">
        <v>323</v>
      </c>
      <c r="L306" s="13" t="s">
        <v>217</v>
      </c>
      <c r="M306" s="13" t="s">
        <v>218</v>
      </c>
      <c r="N306" s="13" t="s">
        <v>1294</v>
      </c>
      <c r="O306" s="7"/>
    </row>
    <row r="307" s="3" customFormat="1" customHeight="1" spans="1:15">
      <c r="A307" s="13" t="s">
        <v>1295</v>
      </c>
      <c r="B307" s="13" t="s">
        <v>1295</v>
      </c>
      <c r="C307" s="13" t="s">
        <v>1295</v>
      </c>
      <c r="D307" s="13" t="s">
        <v>1295</v>
      </c>
      <c r="E307" s="13" t="s">
        <v>300</v>
      </c>
      <c r="F307" s="13" t="s">
        <v>214</v>
      </c>
      <c r="G307" s="13"/>
      <c r="H307" s="13" t="s">
        <v>1296</v>
      </c>
      <c r="I307" s="13"/>
      <c r="J307" s="13"/>
      <c r="K307" s="13" t="s">
        <v>323</v>
      </c>
      <c r="L307" s="13" t="s">
        <v>217</v>
      </c>
      <c r="M307" s="13" t="s">
        <v>218</v>
      </c>
      <c r="N307" s="13" t="s">
        <v>1297</v>
      </c>
      <c r="O307" s="7"/>
    </row>
    <row r="308" s="3" customFormat="1" customHeight="1" spans="1:15">
      <c r="A308" s="13" t="s">
        <v>1298</v>
      </c>
      <c r="B308" s="13" t="s">
        <v>1298</v>
      </c>
      <c r="C308" s="13" t="s">
        <v>1298</v>
      </c>
      <c r="D308" s="13" t="s">
        <v>1298</v>
      </c>
      <c r="E308" s="13" t="s">
        <v>300</v>
      </c>
      <c r="F308" s="13" t="s">
        <v>214</v>
      </c>
      <c r="G308" s="13"/>
      <c r="H308" s="13" t="s">
        <v>319</v>
      </c>
      <c r="I308" s="13"/>
      <c r="J308" s="13"/>
      <c r="K308" s="13" t="s">
        <v>320</v>
      </c>
      <c r="L308" s="13" t="s">
        <v>217</v>
      </c>
      <c r="M308" s="13" t="s">
        <v>218</v>
      </c>
      <c r="N308" s="13" t="s">
        <v>1299</v>
      </c>
      <c r="O308" s="7"/>
    </row>
    <row r="309" s="3" customFormat="1" customHeight="1" spans="1:15">
      <c r="A309" s="13" t="s">
        <v>1300</v>
      </c>
      <c r="B309" s="13" t="s">
        <v>1300</v>
      </c>
      <c r="C309" s="13" t="s">
        <v>1300</v>
      </c>
      <c r="D309" s="13" t="s">
        <v>1300</v>
      </c>
      <c r="E309" s="13" t="s">
        <v>300</v>
      </c>
      <c r="F309" s="13" t="s">
        <v>214</v>
      </c>
      <c r="G309" s="13"/>
      <c r="H309" s="13" t="s">
        <v>1301</v>
      </c>
      <c r="I309" s="13"/>
      <c r="J309" s="13"/>
      <c r="K309" s="13" t="s">
        <v>1302</v>
      </c>
      <c r="L309" s="13" t="s">
        <v>217</v>
      </c>
      <c r="M309" s="13" t="s">
        <v>218</v>
      </c>
      <c r="N309" s="13" t="s">
        <v>1303</v>
      </c>
      <c r="O309" s="7"/>
    </row>
    <row r="310" s="3" customFormat="1" customHeight="1" spans="1:15">
      <c r="A310" s="13" t="s">
        <v>1304</v>
      </c>
      <c r="B310" s="13" t="s">
        <v>1304</v>
      </c>
      <c r="C310" s="13" t="s">
        <v>1304</v>
      </c>
      <c r="D310" s="13" t="s">
        <v>1304</v>
      </c>
      <c r="E310" s="13" t="s">
        <v>300</v>
      </c>
      <c r="F310" s="13" t="s">
        <v>214</v>
      </c>
      <c r="G310" s="13"/>
      <c r="H310" s="13" t="s">
        <v>1305</v>
      </c>
      <c r="I310" s="13"/>
      <c r="J310" s="13"/>
      <c r="K310" s="13" t="s">
        <v>1306</v>
      </c>
      <c r="L310" s="13" t="s">
        <v>239</v>
      </c>
      <c r="M310" s="13" t="s">
        <v>218</v>
      </c>
      <c r="N310" s="13" t="s">
        <v>1307</v>
      </c>
      <c r="O310" s="7"/>
    </row>
    <row r="311" s="3" customFormat="1" customHeight="1" spans="1:15">
      <c r="A311" s="13" t="s">
        <v>1308</v>
      </c>
      <c r="B311" s="13" t="s">
        <v>1308</v>
      </c>
      <c r="C311" s="13" t="s">
        <v>1308</v>
      </c>
      <c r="D311" s="13" t="s">
        <v>1308</v>
      </c>
      <c r="E311" s="13" t="s">
        <v>300</v>
      </c>
      <c r="F311" s="13" t="s">
        <v>214</v>
      </c>
      <c r="G311" s="13"/>
      <c r="H311" s="13" t="s">
        <v>1309</v>
      </c>
      <c r="I311" s="13"/>
      <c r="J311" s="13"/>
      <c r="K311" s="13" t="s">
        <v>1310</v>
      </c>
      <c r="L311" s="13" t="s">
        <v>239</v>
      </c>
      <c r="M311" s="13" t="s">
        <v>218</v>
      </c>
      <c r="N311" s="13" t="s">
        <v>1311</v>
      </c>
      <c r="O311" s="7"/>
    </row>
    <row r="312" s="3" customFormat="1" customHeight="1" spans="1:15">
      <c r="A312" s="13" t="s">
        <v>1312</v>
      </c>
      <c r="B312" s="13" t="s">
        <v>1312</v>
      </c>
      <c r="C312" s="13" t="s">
        <v>1312</v>
      </c>
      <c r="D312" s="13" t="s">
        <v>1312</v>
      </c>
      <c r="E312" s="13" t="s">
        <v>300</v>
      </c>
      <c r="F312" s="13" t="s">
        <v>214</v>
      </c>
      <c r="G312" s="13"/>
      <c r="H312" s="13" t="s">
        <v>1313</v>
      </c>
      <c r="I312" s="13"/>
      <c r="J312" s="13"/>
      <c r="K312" s="13" t="s">
        <v>238</v>
      </c>
      <c r="L312" s="13" t="s">
        <v>239</v>
      </c>
      <c r="M312" s="13" t="s">
        <v>218</v>
      </c>
      <c r="N312" s="13" t="s">
        <v>1314</v>
      </c>
      <c r="O312" s="7"/>
    </row>
    <row r="313" s="3" customFormat="1" customHeight="1" spans="1:15">
      <c r="A313" s="13" t="s">
        <v>1315</v>
      </c>
      <c r="B313" s="13" t="s">
        <v>1315</v>
      </c>
      <c r="C313" s="13" t="s">
        <v>1315</v>
      </c>
      <c r="D313" s="13" t="s">
        <v>1315</v>
      </c>
      <c r="E313" s="13" t="s">
        <v>300</v>
      </c>
      <c r="F313" s="13" t="s">
        <v>214</v>
      </c>
      <c r="G313" s="13"/>
      <c r="H313" s="13" t="s">
        <v>1316</v>
      </c>
      <c r="I313" s="13"/>
      <c r="J313" s="13"/>
      <c r="K313" s="13" t="s">
        <v>238</v>
      </c>
      <c r="L313" s="13" t="s">
        <v>239</v>
      </c>
      <c r="M313" s="13" t="s">
        <v>218</v>
      </c>
      <c r="N313" s="13" t="s">
        <v>1314</v>
      </c>
      <c r="O313" s="7"/>
    </row>
    <row r="314" s="3" customFormat="1" customHeight="1" spans="1:15">
      <c r="A314" s="13" t="s">
        <v>1317</v>
      </c>
      <c r="B314" s="13" t="s">
        <v>1317</v>
      </c>
      <c r="C314" s="13" t="s">
        <v>1317</v>
      </c>
      <c r="D314" s="13" t="s">
        <v>1317</v>
      </c>
      <c r="E314" s="13" t="s">
        <v>300</v>
      </c>
      <c r="F314" s="13" t="s">
        <v>214</v>
      </c>
      <c r="G314" s="13"/>
      <c r="H314" s="13" t="s">
        <v>1318</v>
      </c>
      <c r="I314" s="13"/>
      <c r="J314" s="13"/>
      <c r="K314" s="13" t="s">
        <v>238</v>
      </c>
      <c r="L314" s="13" t="s">
        <v>239</v>
      </c>
      <c r="M314" s="13" t="s">
        <v>218</v>
      </c>
      <c r="N314" s="13" t="s">
        <v>1314</v>
      </c>
      <c r="O314" s="7"/>
    </row>
    <row r="315" s="3" customFormat="1" customHeight="1" spans="1:15">
      <c r="A315" s="13" t="s">
        <v>1319</v>
      </c>
      <c r="B315" s="13" t="s">
        <v>1319</v>
      </c>
      <c r="C315" s="13" t="s">
        <v>1319</v>
      </c>
      <c r="D315" s="13" t="s">
        <v>1319</v>
      </c>
      <c r="E315" s="13" t="s">
        <v>300</v>
      </c>
      <c r="F315" s="13" t="s">
        <v>214</v>
      </c>
      <c r="G315" s="13"/>
      <c r="H315" s="13" t="s">
        <v>1320</v>
      </c>
      <c r="I315" s="13"/>
      <c r="J315" s="13"/>
      <c r="K315" s="13" t="s">
        <v>920</v>
      </c>
      <c r="L315" s="13" t="s">
        <v>257</v>
      </c>
      <c r="M315" s="13" t="s">
        <v>218</v>
      </c>
      <c r="N315" s="13" t="s">
        <v>1321</v>
      </c>
      <c r="O315" s="7"/>
    </row>
    <row r="316" s="3" customFormat="1" customHeight="1" spans="1:15">
      <c r="A316" s="13" t="s">
        <v>1322</v>
      </c>
      <c r="B316" s="13" t="s">
        <v>1322</v>
      </c>
      <c r="C316" s="13" t="s">
        <v>1322</v>
      </c>
      <c r="D316" s="13" t="s">
        <v>1322</v>
      </c>
      <c r="E316" s="13" t="s">
        <v>300</v>
      </c>
      <c r="F316" s="13" t="s">
        <v>214</v>
      </c>
      <c r="G316" s="13"/>
      <c r="H316" s="13" t="s">
        <v>1323</v>
      </c>
      <c r="I316" s="13"/>
      <c r="J316" s="13"/>
      <c r="K316" s="13" t="s">
        <v>238</v>
      </c>
      <c r="L316" s="13" t="s">
        <v>239</v>
      </c>
      <c r="M316" s="13" t="s">
        <v>218</v>
      </c>
      <c r="N316" s="13" t="s">
        <v>1314</v>
      </c>
      <c r="O316" s="7"/>
    </row>
    <row r="317" s="3" customFormat="1" customHeight="1" spans="1:15">
      <c r="A317" s="13" t="s">
        <v>1324</v>
      </c>
      <c r="B317" s="13" t="s">
        <v>1324</v>
      </c>
      <c r="C317" s="13" t="s">
        <v>1324</v>
      </c>
      <c r="D317" s="13" t="s">
        <v>1324</v>
      </c>
      <c r="E317" s="13" t="s">
        <v>300</v>
      </c>
      <c r="F317" s="13" t="s">
        <v>214</v>
      </c>
      <c r="G317" s="13"/>
      <c r="H317" s="13" t="s">
        <v>1325</v>
      </c>
      <c r="I317" s="13"/>
      <c r="J317" s="13"/>
      <c r="K317" s="13" t="s">
        <v>1326</v>
      </c>
      <c r="L317" s="13" t="s">
        <v>382</v>
      </c>
      <c r="M317" s="13" t="s">
        <v>218</v>
      </c>
      <c r="N317" s="13" t="s">
        <v>1327</v>
      </c>
      <c r="O317" s="7"/>
    </row>
    <row r="318" s="3" customFormat="1" customHeight="1" spans="1:15">
      <c r="A318" s="13" t="s">
        <v>1328</v>
      </c>
      <c r="B318" s="13" t="s">
        <v>1328</v>
      </c>
      <c r="C318" s="13" t="s">
        <v>1328</v>
      </c>
      <c r="D318" s="13" t="s">
        <v>1328</v>
      </c>
      <c r="E318" s="13" t="s">
        <v>300</v>
      </c>
      <c r="F318" s="13" t="s">
        <v>214</v>
      </c>
      <c r="G318" s="13"/>
      <c r="H318" s="13" t="s">
        <v>1329</v>
      </c>
      <c r="I318" s="13"/>
      <c r="J318" s="13"/>
      <c r="K318" s="13" t="s">
        <v>1330</v>
      </c>
      <c r="L318" s="13" t="s">
        <v>382</v>
      </c>
      <c r="M318" s="13" t="s">
        <v>218</v>
      </c>
      <c r="N318" s="13" t="s">
        <v>1331</v>
      </c>
      <c r="O318" s="7"/>
    </row>
    <row r="319" s="3" customFormat="1" customHeight="1" spans="1:15">
      <c r="A319" s="13" t="s">
        <v>1332</v>
      </c>
      <c r="B319" s="13" t="s">
        <v>1332</v>
      </c>
      <c r="C319" s="13" t="s">
        <v>1332</v>
      </c>
      <c r="D319" s="13" t="s">
        <v>1332</v>
      </c>
      <c r="E319" s="13" t="s">
        <v>300</v>
      </c>
      <c r="F319" s="13" t="s">
        <v>214</v>
      </c>
      <c r="G319" s="13"/>
      <c r="H319" s="13" t="s">
        <v>1333</v>
      </c>
      <c r="I319" s="13"/>
      <c r="J319" s="13"/>
      <c r="K319" s="13" t="s">
        <v>1142</v>
      </c>
      <c r="L319" s="13" t="s">
        <v>217</v>
      </c>
      <c r="M319" s="13" t="s">
        <v>218</v>
      </c>
      <c r="N319" s="13" t="s">
        <v>1334</v>
      </c>
      <c r="O319" s="7"/>
    </row>
    <row r="320" s="3" customFormat="1" customHeight="1" spans="1:15">
      <c r="A320" s="13" t="s">
        <v>1335</v>
      </c>
      <c r="B320" s="13" t="s">
        <v>1335</v>
      </c>
      <c r="C320" s="13" t="s">
        <v>1335</v>
      </c>
      <c r="D320" s="13" t="s">
        <v>1335</v>
      </c>
      <c r="E320" s="13" t="s">
        <v>300</v>
      </c>
      <c r="F320" s="13" t="s">
        <v>214</v>
      </c>
      <c r="G320" s="13"/>
      <c r="H320" s="13" t="s">
        <v>1336</v>
      </c>
      <c r="I320" s="13"/>
      <c r="J320" s="13"/>
      <c r="K320" s="13" t="s">
        <v>1337</v>
      </c>
      <c r="L320" s="13" t="s">
        <v>217</v>
      </c>
      <c r="M320" s="13" t="s">
        <v>218</v>
      </c>
      <c r="N320" s="13" t="s">
        <v>1338</v>
      </c>
      <c r="O320" s="7"/>
    </row>
    <row r="321" s="3" customFormat="1" customHeight="1" spans="1:15">
      <c r="A321" s="13" t="s">
        <v>1339</v>
      </c>
      <c r="B321" s="13" t="s">
        <v>1339</v>
      </c>
      <c r="C321" s="13" t="s">
        <v>1339</v>
      </c>
      <c r="D321" s="13" t="s">
        <v>1339</v>
      </c>
      <c r="E321" s="13" t="s">
        <v>300</v>
      </c>
      <c r="F321" s="13" t="s">
        <v>214</v>
      </c>
      <c r="G321" s="13"/>
      <c r="H321" s="13" t="s">
        <v>1340</v>
      </c>
      <c r="I321" s="13"/>
      <c r="J321" s="13"/>
      <c r="K321" s="13" t="s">
        <v>1014</v>
      </c>
      <c r="L321" s="13" t="s">
        <v>217</v>
      </c>
      <c r="M321" s="13" t="s">
        <v>218</v>
      </c>
      <c r="N321" s="13" t="s">
        <v>1341</v>
      </c>
      <c r="O321" s="7"/>
    </row>
    <row r="322" s="3" customFormat="1" customHeight="1" spans="1:15">
      <c r="A322" s="13" t="s">
        <v>1342</v>
      </c>
      <c r="B322" s="13" t="s">
        <v>1342</v>
      </c>
      <c r="C322" s="13" t="s">
        <v>1342</v>
      </c>
      <c r="D322" s="13" t="s">
        <v>1342</v>
      </c>
      <c r="E322" s="13" t="s">
        <v>300</v>
      </c>
      <c r="F322" s="13" t="s">
        <v>214</v>
      </c>
      <c r="G322" s="13"/>
      <c r="H322" s="13" t="s">
        <v>1343</v>
      </c>
      <c r="I322" s="13"/>
      <c r="J322" s="13"/>
      <c r="K322" s="13" t="s">
        <v>1344</v>
      </c>
      <c r="L322" s="13" t="s">
        <v>1345</v>
      </c>
      <c r="M322" s="13" t="s">
        <v>218</v>
      </c>
      <c r="N322" s="13" t="s">
        <v>1346</v>
      </c>
      <c r="O322" s="7"/>
    </row>
    <row r="323" s="3" customFormat="1" customHeight="1" spans="1:15">
      <c r="A323" s="13" t="s">
        <v>1347</v>
      </c>
      <c r="B323" s="13" t="s">
        <v>1347</v>
      </c>
      <c r="C323" s="13" t="s">
        <v>1347</v>
      </c>
      <c r="D323" s="13" t="s">
        <v>1347</v>
      </c>
      <c r="E323" s="13" t="s">
        <v>300</v>
      </c>
      <c r="F323" s="13" t="s">
        <v>214</v>
      </c>
      <c r="G323" s="13"/>
      <c r="H323" s="13" t="s">
        <v>1348</v>
      </c>
      <c r="I323" s="13"/>
      <c r="J323" s="13"/>
      <c r="K323" s="13" t="s">
        <v>1349</v>
      </c>
      <c r="L323" s="13" t="s">
        <v>1345</v>
      </c>
      <c r="M323" s="13" t="s">
        <v>218</v>
      </c>
      <c r="N323" s="13" t="s">
        <v>1350</v>
      </c>
      <c r="O323" s="7"/>
    </row>
    <row r="324" s="3" customFormat="1" customHeight="1" spans="1:15">
      <c r="A324" s="13" t="s">
        <v>1351</v>
      </c>
      <c r="B324" s="13" t="s">
        <v>1351</v>
      </c>
      <c r="C324" s="13" t="s">
        <v>1351</v>
      </c>
      <c r="D324" s="13" t="s">
        <v>1351</v>
      </c>
      <c r="E324" s="13" t="s">
        <v>300</v>
      </c>
      <c r="F324" s="13" t="s">
        <v>214</v>
      </c>
      <c r="G324" s="13"/>
      <c r="H324" s="13" t="s">
        <v>1352</v>
      </c>
      <c r="I324" s="13"/>
      <c r="J324" s="13"/>
      <c r="K324" s="13" t="s">
        <v>1344</v>
      </c>
      <c r="L324" s="13" t="s">
        <v>1345</v>
      </c>
      <c r="M324" s="13" t="s">
        <v>218</v>
      </c>
      <c r="N324" s="13" t="s">
        <v>1353</v>
      </c>
      <c r="O324" s="7"/>
    </row>
    <row r="325" s="3" customFormat="1" customHeight="1" spans="1:15">
      <c r="A325" s="13" t="s">
        <v>1354</v>
      </c>
      <c r="B325" s="13" t="s">
        <v>1354</v>
      </c>
      <c r="C325" s="13" t="s">
        <v>1354</v>
      </c>
      <c r="D325" s="13" t="s">
        <v>1354</v>
      </c>
      <c r="E325" s="13" t="s">
        <v>300</v>
      </c>
      <c r="F325" s="13" t="s">
        <v>214</v>
      </c>
      <c r="G325" s="13"/>
      <c r="H325" s="13" t="s">
        <v>1355</v>
      </c>
      <c r="I325" s="13"/>
      <c r="J325" s="13"/>
      <c r="K325" s="13" t="s">
        <v>245</v>
      </c>
      <c r="L325" s="13" t="s">
        <v>217</v>
      </c>
      <c r="M325" s="13" t="s">
        <v>218</v>
      </c>
      <c r="N325" s="13" t="s">
        <v>1356</v>
      </c>
      <c r="O325" s="7"/>
    </row>
    <row r="326" s="3" customFormat="1" customHeight="1" spans="1:15">
      <c r="A326" s="13" t="s">
        <v>1357</v>
      </c>
      <c r="B326" s="13" t="s">
        <v>1357</v>
      </c>
      <c r="C326" s="13" t="s">
        <v>1357</v>
      </c>
      <c r="D326" s="13" t="s">
        <v>1357</v>
      </c>
      <c r="E326" s="13" t="s">
        <v>300</v>
      </c>
      <c r="F326" s="13" t="s">
        <v>214</v>
      </c>
      <c r="G326" s="13"/>
      <c r="H326" s="13" t="s">
        <v>1358</v>
      </c>
      <c r="I326" s="13"/>
      <c r="J326" s="13"/>
      <c r="K326" s="13" t="s">
        <v>1359</v>
      </c>
      <c r="L326" s="13" t="s">
        <v>217</v>
      </c>
      <c r="M326" s="13" t="s">
        <v>218</v>
      </c>
      <c r="N326" s="13" t="s">
        <v>1360</v>
      </c>
      <c r="O326" s="7"/>
    </row>
    <row r="327" s="3" customFormat="1" customHeight="1" spans="1:15">
      <c r="A327" s="13" t="s">
        <v>1361</v>
      </c>
      <c r="B327" s="13" t="s">
        <v>1361</v>
      </c>
      <c r="C327" s="13" t="s">
        <v>1361</v>
      </c>
      <c r="D327" s="13" t="s">
        <v>1361</v>
      </c>
      <c r="E327" s="13" t="s">
        <v>300</v>
      </c>
      <c r="F327" s="13" t="s">
        <v>214</v>
      </c>
      <c r="G327" s="13"/>
      <c r="H327" s="13" t="s">
        <v>1362</v>
      </c>
      <c r="I327" s="13"/>
      <c r="J327" s="13"/>
      <c r="K327" s="13" t="s">
        <v>1363</v>
      </c>
      <c r="L327" s="13" t="s">
        <v>217</v>
      </c>
      <c r="M327" s="13" t="s">
        <v>218</v>
      </c>
      <c r="N327" s="13" t="s">
        <v>1364</v>
      </c>
      <c r="O327" s="7"/>
    </row>
    <row r="328" s="3" customFormat="1" customHeight="1" spans="1:15">
      <c r="A328" s="13" t="s">
        <v>1365</v>
      </c>
      <c r="B328" s="13" t="s">
        <v>1365</v>
      </c>
      <c r="C328" s="13" t="s">
        <v>1365</v>
      </c>
      <c r="D328" s="13" t="s">
        <v>1365</v>
      </c>
      <c r="E328" s="13" t="s">
        <v>300</v>
      </c>
      <c r="F328" s="13" t="s">
        <v>214</v>
      </c>
      <c r="G328" s="13"/>
      <c r="H328" s="13" t="s">
        <v>1366</v>
      </c>
      <c r="I328" s="13"/>
      <c r="J328" s="13"/>
      <c r="K328" s="13" t="s">
        <v>727</v>
      </c>
      <c r="L328" s="13" t="s">
        <v>447</v>
      </c>
      <c r="M328" s="13" t="s">
        <v>218</v>
      </c>
      <c r="N328" s="13" t="s">
        <v>728</v>
      </c>
      <c r="O328" s="7"/>
    </row>
    <row r="329" s="3" customFormat="1" customHeight="1" spans="1:15">
      <c r="A329" s="13" t="s">
        <v>1367</v>
      </c>
      <c r="B329" s="13" t="s">
        <v>1367</v>
      </c>
      <c r="C329" s="13" t="s">
        <v>1367</v>
      </c>
      <c r="D329" s="13" t="s">
        <v>1367</v>
      </c>
      <c r="E329" s="13" t="s">
        <v>300</v>
      </c>
      <c r="F329" s="13" t="s">
        <v>214</v>
      </c>
      <c r="G329" s="13"/>
      <c r="H329" s="13" t="s">
        <v>1368</v>
      </c>
      <c r="I329" s="13"/>
      <c r="J329" s="13"/>
      <c r="K329" s="13" t="s">
        <v>1030</v>
      </c>
      <c r="L329" s="13" t="s">
        <v>217</v>
      </c>
      <c r="M329" s="13" t="s">
        <v>218</v>
      </c>
      <c r="N329" s="13" t="s">
        <v>1369</v>
      </c>
      <c r="O329" s="7"/>
    </row>
    <row r="330" s="3" customFormat="1" customHeight="1" spans="1:15">
      <c r="A330" s="13" t="s">
        <v>1370</v>
      </c>
      <c r="B330" s="13" t="s">
        <v>1370</v>
      </c>
      <c r="C330" s="13" t="s">
        <v>1370</v>
      </c>
      <c r="D330" s="13" t="s">
        <v>1370</v>
      </c>
      <c r="E330" s="13" t="s">
        <v>300</v>
      </c>
      <c r="F330" s="13" t="s">
        <v>214</v>
      </c>
      <c r="G330" s="13"/>
      <c r="H330" s="13" t="s">
        <v>1371</v>
      </c>
      <c r="I330" s="13"/>
      <c r="J330" s="13"/>
      <c r="K330" s="13" t="s">
        <v>1372</v>
      </c>
      <c r="L330" s="13" t="s">
        <v>1373</v>
      </c>
      <c r="M330" s="13" t="s">
        <v>218</v>
      </c>
      <c r="N330" s="13" t="s">
        <v>1374</v>
      </c>
      <c r="O330" s="7"/>
    </row>
    <row r="331" s="3" customFormat="1" customHeight="1" spans="1:15">
      <c r="A331" s="13" t="s">
        <v>1375</v>
      </c>
      <c r="B331" s="13" t="s">
        <v>1375</v>
      </c>
      <c r="C331" s="13" t="s">
        <v>1375</v>
      </c>
      <c r="D331" s="13" t="s">
        <v>1375</v>
      </c>
      <c r="E331" s="13" t="s">
        <v>300</v>
      </c>
      <c r="F331" s="13" t="s">
        <v>214</v>
      </c>
      <c r="G331" s="13"/>
      <c r="H331" s="13" t="s">
        <v>1376</v>
      </c>
      <c r="I331" s="13"/>
      <c r="J331" s="13"/>
      <c r="K331" s="13" t="s">
        <v>1377</v>
      </c>
      <c r="L331" s="13" t="s">
        <v>278</v>
      </c>
      <c r="M331" s="13" t="s">
        <v>218</v>
      </c>
      <c r="N331" s="13" t="s">
        <v>1378</v>
      </c>
      <c r="O331" s="7"/>
    </row>
    <row r="332" s="3" customFormat="1" customHeight="1" spans="1:15">
      <c r="A332" s="13" t="s">
        <v>1379</v>
      </c>
      <c r="B332" s="13" t="s">
        <v>1379</v>
      </c>
      <c r="C332" s="13" t="s">
        <v>1379</v>
      </c>
      <c r="D332" s="13" t="s">
        <v>1379</v>
      </c>
      <c r="E332" s="13" t="s">
        <v>300</v>
      </c>
      <c r="F332" s="13" t="s">
        <v>214</v>
      </c>
      <c r="G332" s="13"/>
      <c r="H332" s="13" t="s">
        <v>1380</v>
      </c>
      <c r="I332" s="13"/>
      <c r="J332" s="13"/>
      <c r="K332" s="13" t="s">
        <v>1377</v>
      </c>
      <c r="L332" s="13" t="s">
        <v>278</v>
      </c>
      <c r="M332" s="13" t="s">
        <v>218</v>
      </c>
      <c r="N332" s="13" t="s">
        <v>1381</v>
      </c>
      <c r="O332" s="7"/>
    </row>
    <row r="333" s="3" customFormat="1" customHeight="1" spans="1:15">
      <c r="A333" s="13" t="s">
        <v>1382</v>
      </c>
      <c r="B333" s="13" t="s">
        <v>1382</v>
      </c>
      <c r="C333" s="13" t="s">
        <v>1382</v>
      </c>
      <c r="D333" s="13" t="s">
        <v>1382</v>
      </c>
      <c r="E333" s="13" t="s">
        <v>300</v>
      </c>
      <c r="F333" s="13" t="s">
        <v>214</v>
      </c>
      <c r="G333" s="13"/>
      <c r="H333" s="13" t="s">
        <v>1383</v>
      </c>
      <c r="I333" s="13"/>
      <c r="J333" s="13"/>
      <c r="K333" s="13" t="s">
        <v>1384</v>
      </c>
      <c r="L333" s="13" t="s">
        <v>1373</v>
      </c>
      <c r="M333" s="13" t="s">
        <v>218</v>
      </c>
      <c r="N333" s="13" t="s">
        <v>1385</v>
      </c>
      <c r="O333" s="7"/>
    </row>
    <row r="334" s="3" customFormat="1" customHeight="1" spans="1:15">
      <c r="A334" s="13" t="s">
        <v>1386</v>
      </c>
      <c r="B334" s="13" t="s">
        <v>1386</v>
      </c>
      <c r="C334" s="13" t="s">
        <v>1386</v>
      </c>
      <c r="D334" s="13" t="s">
        <v>1386</v>
      </c>
      <c r="E334" s="13" t="s">
        <v>300</v>
      </c>
      <c r="F334" s="13" t="s">
        <v>214</v>
      </c>
      <c r="G334" s="13"/>
      <c r="H334" s="13" t="s">
        <v>1387</v>
      </c>
      <c r="I334" s="13"/>
      <c r="J334" s="13"/>
      <c r="K334" s="13" t="s">
        <v>1388</v>
      </c>
      <c r="L334" s="13" t="s">
        <v>476</v>
      </c>
      <c r="M334" s="13" t="s">
        <v>218</v>
      </c>
      <c r="N334" s="13" t="s">
        <v>1389</v>
      </c>
      <c r="O334" s="7"/>
    </row>
    <row r="335" s="3" customFormat="1" customHeight="1" spans="1:15">
      <c r="A335" s="13" t="s">
        <v>1390</v>
      </c>
      <c r="B335" s="13" t="s">
        <v>1390</v>
      </c>
      <c r="C335" s="13" t="s">
        <v>1390</v>
      </c>
      <c r="D335" s="13" t="s">
        <v>1390</v>
      </c>
      <c r="E335" s="13" t="s">
        <v>300</v>
      </c>
      <c r="F335" s="13" t="s">
        <v>214</v>
      </c>
      <c r="G335" s="13"/>
      <c r="H335" s="13" t="s">
        <v>1391</v>
      </c>
      <c r="I335" s="13"/>
      <c r="J335" s="13"/>
      <c r="K335" s="13" t="s">
        <v>1392</v>
      </c>
      <c r="L335" s="13" t="s">
        <v>282</v>
      </c>
      <c r="M335" s="13" t="s">
        <v>218</v>
      </c>
      <c r="N335" s="13" t="s">
        <v>1393</v>
      </c>
      <c r="O335" s="7"/>
    </row>
    <row r="336" s="3" customFormat="1" customHeight="1" spans="1:15">
      <c r="A336" s="13" t="s">
        <v>1394</v>
      </c>
      <c r="B336" s="13" t="s">
        <v>1394</v>
      </c>
      <c r="C336" s="13" t="s">
        <v>1394</v>
      </c>
      <c r="D336" s="13" t="s">
        <v>1394</v>
      </c>
      <c r="E336" s="13" t="s">
        <v>300</v>
      </c>
      <c r="F336" s="13" t="s">
        <v>214</v>
      </c>
      <c r="G336" s="13"/>
      <c r="H336" s="13" t="s">
        <v>1395</v>
      </c>
      <c r="I336" s="13"/>
      <c r="J336" s="13"/>
      <c r="K336" s="13" t="s">
        <v>1396</v>
      </c>
      <c r="L336" s="13" t="s">
        <v>282</v>
      </c>
      <c r="M336" s="13" t="s">
        <v>218</v>
      </c>
      <c r="N336" s="13" t="s">
        <v>1397</v>
      </c>
      <c r="O336" s="7"/>
    </row>
    <row r="337" s="3" customFormat="1" customHeight="1" spans="1:15">
      <c r="A337" s="13" t="s">
        <v>1398</v>
      </c>
      <c r="B337" s="13" t="s">
        <v>1398</v>
      </c>
      <c r="C337" s="13" t="s">
        <v>1398</v>
      </c>
      <c r="D337" s="13" t="s">
        <v>1398</v>
      </c>
      <c r="E337" s="13" t="s">
        <v>300</v>
      </c>
      <c r="F337" s="13" t="s">
        <v>214</v>
      </c>
      <c r="G337" s="13"/>
      <c r="H337" s="13" t="s">
        <v>1399</v>
      </c>
      <c r="I337" s="13"/>
      <c r="J337" s="13"/>
      <c r="K337" s="13" t="s">
        <v>1400</v>
      </c>
      <c r="L337" s="13" t="s">
        <v>282</v>
      </c>
      <c r="M337" s="13" t="s">
        <v>218</v>
      </c>
      <c r="N337" s="13" t="s">
        <v>1401</v>
      </c>
      <c r="O337" s="7"/>
    </row>
    <row r="338" s="3" customFormat="1" customHeight="1" spans="1:15">
      <c r="A338" s="13" t="s">
        <v>1402</v>
      </c>
      <c r="B338" s="13" t="s">
        <v>1402</v>
      </c>
      <c r="C338" s="13" t="s">
        <v>1402</v>
      </c>
      <c r="D338" s="13" t="s">
        <v>1402</v>
      </c>
      <c r="E338" s="13" t="s">
        <v>300</v>
      </c>
      <c r="F338" s="13" t="s">
        <v>214</v>
      </c>
      <c r="G338" s="13"/>
      <c r="H338" s="13" t="s">
        <v>1403</v>
      </c>
      <c r="I338" s="13"/>
      <c r="J338" s="13"/>
      <c r="K338" s="13" t="s">
        <v>1404</v>
      </c>
      <c r="L338" s="13" t="s">
        <v>282</v>
      </c>
      <c r="M338" s="13" t="s">
        <v>218</v>
      </c>
      <c r="N338" s="13" t="s">
        <v>1405</v>
      </c>
      <c r="O338" s="7"/>
    </row>
    <row r="339" s="3" customFormat="1" customHeight="1" spans="1:15">
      <c r="A339" s="13" t="s">
        <v>1406</v>
      </c>
      <c r="B339" s="13" t="s">
        <v>1406</v>
      </c>
      <c r="C339" s="13" t="s">
        <v>1406</v>
      </c>
      <c r="D339" s="13" t="s">
        <v>1406</v>
      </c>
      <c r="E339" s="13" t="s">
        <v>300</v>
      </c>
      <c r="F339" s="13" t="s">
        <v>214</v>
      </c>
      <c r="G339" s="13"/>
      <c r="H339" s="13" t="s">
        <v>1407</v>
      </c>
      <c r="I339" s="13"/>
      <c r="J339" s="13"/>
      <c r="K339" s="13" t="s">
        <v>317</v>
      </c>
      <c r="L339" s="13" t="s">
        <v>224</v>
      </c>
      <c r="M339" s="13" t="s">
        <v>218</v>
      </c>
      <c r="N339" s="13" t="s">
        <v>1229</v>
      </c>
      <c r="O339" s="7"/>
    </row>
    <row r="340" s="3" customFormat="1" customHeight="1" spans="1:15">
      <c r="A340" s="13" t="s">
        <v>1408</v>
      </c>
      <c r="B340" s="13" t="s">
        <v>1408</v>
      </c>
      <c r="C340" s="13" t="s">
        <v>1408</v>
      </c>
      <c r="D340" s="13" t="s">
        <v>1408</v>
      </c>
      <c r="E340" s="13" t="s">
        <v>300</v>
      </c>
      <c r="F340" s="13" t="s">
        <v>214</v>
      </c>
      <c r="G340" s="13"/>
      <c r="H340" s="13" t="s">
        <v>1409</v>
      </c>
      <c r="I340" s="13"/>
      <c r="J340" s="13"/>
      <c r="K340" s="13" t="s">
        <v>1410</v>
      </c>
      <c r="L340" s="13" t="s">
        <v>249</v>
      </c>
      <c r="M340" s="13" t="s">
        <v>218</v>
      </c>
      <c r="N340" s="13" t="s">
        <v>1411</v>
      </c>
      <c r="O340" s="7"/>
    </row>
    <row r="341" s="3" customFormat="1" customHeight="1" spans="1:15">
      <c r="A341" s="13" t="s">
        <v>1412</v>
      </c>
      <c r="B341" s="13" t="s">
        <v>1412</v>
      </c>
      <c r="C341" s="13" t="s">
        <v>1412</v>
      </c>
      <c r="D341" s="13" t="s">
        <v>1412</v>
      </c>
      <c r="E341" s="13" t="s">
        <v>300</v>
      </c>
      <c r="F341" s="13" t="s">
        <v>214</v>
      </c>
      <c r="G341" s="13"/>
      <c r="H341" s="13" t="s">
        <v>1413</v>
      </c>
      <c r="I341" s="13"/>
      <c r="J341" s="13"/>
      <c r="K341" s="13" t="s">
        <v>1414</v>
      </c>
      <c r="L341" s="13" t="s">
        <v>249</v>
      </c>
      <c r="M341" s="13" t="s">
        <v>218</v>
      </c>
      <c r="N341" s="13" t="s">
        <v>1415</v>
      </c>
      <c r="O341" s="7"/>
    </row>
    <row r="342" s="3" customFormat="1" customHeight="1" spans="1:15">
      <c r="A342" s="13" t="s">
        <v>1416</v>
      </c>
      <c r="B342" s="13" t="s">
        <v>1416</v>
      </c>
      <c r="C342" s="13" t="s">
        <v>1416</v>
      </c>
      <c r="D342" s="13" t="s">
        <v>1416</v>
      </c>
      <c r="E342" s="13" t="s">
        <v>300</v>
      </c>
      <c r="F342" s="13" t="s">
        <v>214</v>
      </c>
      <c r="G342" s="13"/>
      <c r="H342" s="13" t="s">
        <v>1417</v>
      </c>
      <c r="I342" s="13"/>
      <c r="J342" s="13"/>
      <c r="K342" s="13" t="s">
        <v>1418</v>
      </c>
      <c r="L342" s="13" t="s">
        <v>249</v>
      </c>
      <c r="M342" s="13" t="s">
        <v>218</v>
      </c>
      <c r="N342" s="13" t="s">
        <v>1419</v>
      </c>
      <c r="O342" s="7"/>
    </row>
    <row r="343" s="3" customFormat="1" customHeight="1" spans="1:15">
      <c r="A343" s="13" t="s">
        <v>1420</v>
      </c>
      <c r="B343" s="13" t="s">
        <v>1420</v>
      </c>
      <c r="C343" s="13" t="s">
        <v>1420</v>
      </c>
      <c r="D343" s="13" t="s">
        <v>1420</v>
      </c>
      <c r="E343" s="13" t="s">
        <v>300</v>
      </c>
      <c r="F343" s="13" t="s">
        <v>214</v>
      </c>
      <c r="G343" s="13"/>
      <c r="H343" s="13" t="s">
        <v>1421</v>
      </c>
      <c r="I343" s="13"/>
      <c r="J343" s="13"/>
      <c r="K343" s="13" t="s">
        <v>1422</v>
      </c>
      <c r="L343" s="13" t="s">
        <v>249</v>
      </c>
      <c r="M343" s="13" t="s">
        <v>218</v>
      </c>
      <c r="N343" s="13" t="s">
        <v>1423</v>
      </c>
      <c r="O343" s="7"/>
    </row>
    <row r="344" s="3" customFormat="1" customHeight="1" spans="1:15">
      <c r="A344" s="13" t="s">
        <v>1424</v>
      </c>
      <c r="B344" s="13" t="s">
        <v>1424</v>
      </c>
      <c r="C344" s="13" t="s">
        <v>1424</v>
      </c>
      <c r="D344" s="13" t="s">
        <v>1424</v>
      </c>
      <c r="E344" s="13" t="s">
        <v>300</v>
      </c>
      <c r="F344" s="13" t="s">
        <v>214</v>
      </c>
      <c r="G344" s="13"/>
      <c r="H344" s="13" t="s">
        <v>1425</v>
      </c>
      <c r="I344" s="13"/>
      <c r="J344" s="13"/>
      <c r="K344" s="13" t="s">
        <v>1426</v>
      </c>
      <c r="L344" s="13" t="s">
        <v>282</v>
      </c>
      <c r="M344" s="13" t="s">
        <v>218</v>
      </c>
      <c r="N344" s="13" t="s">
        <v>1427</v>
      </c>
      <c r="O344" s="7"/>
    </row>
    <row r="345" s="3" customFormat="1" customHeight="1" spans="1:15">
      <c r="A345" s="13" t="s">
        <v>1428</v>
      </c>
      <c r="B345" s="13" t="s">
        <v>1428</v>
      </c>
      <c r="C345" s="13" t="s">
        <v>1428</v>
      </c>
      <c r="D345" s="13" t="s">
        <v>1428</v>
      </c>
      <c r="E345" s="13" t="s">
        <v>300</v>
      </c>
      <c r="F345" s="13" t="s">
        <v>214</v>
      </c>
      <c r="G345" s="13"/>
      <c r="H345" s="13" t="s">
        <v>1429</v>
      </c>
      <c r="I345" s="13"/>
      <c r="J345" s="13"/>
      <c r="K345" s="13" t="s">
        <v>1430</v>
      </c>
      <c r="L345" s="13" t="s">
        <v>235</v>
      </c>
      <c r="M345" s="13" t="s">
        <v>218</v>
      </c>
      <c r="N345" s="13" t="s">
        <v>1431</v>
      </c>
      <c r="O345" s="7"/>
    </row>
    <row r="346" s="3" customFormat="1" customHeight="1" spans="1:15">
      <c r="A346" s="13" t="s">
        <v>1432</v>
      </c>
      <c r="B346" s="13" t="s">
        <v>1432</v>
      </c>
      <c r="C346" s="13" t="s">
        <v>1432</v>
      </c>
      <c r="D346" s="13" t="s">
        <v>1432</v>
      </c>
      <c r="E346" s="13" t="s">
        <v>300</v>
      </c>
      <c r="F346" s="13" t="s">
        <v>214</v>
      </c>
      <c r="G346" s="13"/>
      <c r="H346" s="13" t="s">
        <v>1433</v>
      </c>
      <c r="I346" s="13"/>
      <c r="J346" s="13"/>
      <c r="K346" s="13" t="s">
        <v>1434</v>
      </c>
      <c r="L346" s="13" t="s">
        <v>224</v>
      </c>
      <c r="M346" s="13" t="s">
        <v>218</v>
      </c>
      <c r="N346" s="13" t="s">
        <v>1435</v>
      </c>
      <c r="O346" s="7"/>
    </row>
    <row r="347" s="3" customFormat="1" customHeight="1" spans="1:15">
      <c r="A347" s="13" t="s">
        <v>1436</v>
      </c>
      <c r="B347" s="13" t="s">
        <v>1436</v>
      </c>
      <c r="C347" s="13" t="s">
        <v>1436</v>
      </c>
      <c r="D347" s="13" t="s">
        <v>1436</v>
      </c>
      <c r="E347" s="13" t="s">
        <v>300</v>
      </c>
      <c r="F347" s="13" t="s">
        <v>214</v>
      </c>
      <c r="G347" s="13"/>
      <c r="H347" s="13" t="s">
        <v>1437</v>
      </c>
      <c r="I347" s="13"/>
      <c r="J347" s="13"/>
      <c r="K347" s="13" t="s">
        <v>538</v>
      </c>
      <c r="L347" s="13" t="s">
        <v>268</v>
      </c>
      <c r="M347" s="13" t="s">
        <v>218</v>
      </c>
      <c r="N347" s="13" t="s">
        <v>1438</v>
      </c>
      <c r="O347" s="7"/>
    </row>
    <row r="348" s="3" customFormat="1" customHeight="1" spans="1:15">
      <c r="A348" s="13" t="s">
        <v>1439</v>
      </c>
      <c r="B348" s="13" t="s">
        <v>1439</v>
      </c>
      <c r="C348" s="13" t="s">
        <v>1439</v>
      </c>
      <c r="D348" s="13" t="s">
        <v>1439</v>
      </c>
      <c r="E348" s="13" t="s">
        <v>300</v>
      </c>
      <c r="F348" s="13" t="s">
        <v>214</v>
      </c>
      <c r="G348" s="13"/>
      <c r="H348" s="13" t="s">
        <v>1440</v>
      </c>
      <c r="I348" s="13"/>
      <c r="J348" s="13"/>
      <c r="K348" s="13" t="s">
        <v>1441</v>
      </c>
      <c r="L348" s="13" t="s">
        <v>287</v>
      </c>
      <c r="M348" s="13" t="s">
        <v>218</v>
      </c>
      <c r="N348" s="13" t="s">
        <v>1442</v>
      </c>
      <c r="O348" s="7"/>
    </row>
    <row r="349" s="3" customFormat="1" customHeight="1" spans="1:15">
      <c r="A349" s="13" t="s">
        <v>1443</v>
      </c>
      <c r="B349" s="13" t="s">
        <v>1443</v>
      </c>
      <c r="C349" s="13" t="s">
        <v>1443</v>
      </c>
      <c r="D349" s="13" t="s">
        <v>1443</v>
      </c>
      <c r="E349" s="13" t="s">
        <v>300</v>
      </c>
      <c r="F349" s="13" t="s">
        <v>214</v>
      </c>
      <c r="G349" s="13"/>
      <c r="H349" s="13" t="s">
        <v>1444</v>
      </c>
      <c r="I349" s="13"/>
      <c r="J349" s="13"/>
      <c r="K349" s="13" t="s">
        <v>1445</v>
      </c>
      <c r="L349" s="13" t="s">
        <v>287</v>
      </c>
      <c r="M349" s="13" t="s">
        <v>218</v>
      </c>
      <c r="N349" s="13" t="s">
        <v>1446</v>
      </c>
      <c r="O349" s="7"/>
    </row>
    <row r="350" s="3" customFormat="1" customHeight="1" spans="1:15">
      <c r="A350" s="13" t="s">
        <v>1447</v>
      </c>
      <c r="B350" s="13" t="s">
        <v>1447</v>
      </c>
      <c r="C350" s="13" t="s">
        <v>1447</v>
      </c>
      <c r="D350" s="13" t="s">
        <v>1447</v>
      </c>
      <c r="E350" s="13" t="s">
        <v>300</v>
      </c>
      <c r="F350" s="13" t="s">
        <v>214</v>
      </c>
      <c r="G350" s="13"/>
      <c r="H350" s="13" t="s">
        <v>1448</v>
      </c>
      <c r="I350" s="13"/>
      <c r="J350" s="13"/>
      <c r="K350" s="13" t="s">
        <v>538</v>
      </c>
      <c r="L350" s="13" t="s">
        <v>268</v>
      </c>
      <c r="M350" s="13" t="s">
        <v>218</v>
      </c>
      <c r="N350" s="13" t="s">
        <v>1449</v>
      </c>
      <c r="O350" s="7"/>
    </row>
    <row r="351" s="3" customFormat="1" customHeight="1" spans="1:15">
      <c r="A351" s="13" t="s">
        <v>1450</v>
      </c>
      <c r="B351" s="13" t="s">
        <v>1450</v>
      </c>
      <c r="C351" s="13" t="s">
        <v>1450</v>
      </c>
      <c r="D351" s="13" t="s">
        <v>1450</v>
      </c>
      <c r="E351" s="13" t="s">
        <v>300</v>
      </c>
      <c r="F351" s="13" t="s">
        <v>214</v>
      </c>
      <c r="G351" s="13"/>
      <c r="H351" s="13" t="s">
        <v>1451</v>
      </c>
      <c r="I351" s="13"/>
      <c r="J351" s="13"/>
      <c r="K351" s="13" t="s">
        <v>1452</v>
      </c>
      <c r="L351" s="13" t="s">
        <v>217</v>
      </c>
      <c r="M351" s="13" t="s">
        <v>218</v>
      </c>
      <c r="N351" s="13" t="s">
        <v>1453</v>
      </c>
      <c r="O351" s="7"/>
    </row>
    <row r="352" s="3" customFormat="1" customHeight="1" spans="1:15">
      <c r="A352" s="13" t="s">
        <v>1454</v>
      </c>
      <c r="B352" s="13" t="s">
        <v>1454</v>
      </c>
      <c r="C352" s="13" t="s">
        <v>1454</v>
      </c>
      <c r="D352" s="13" t="s">
        <v>1454</v>
      </c>
      <c r="E352" s="13" t="s">
        <v>300</v>
      </c>
      <c r="F352" s="13" t="s">
        <v>214</v>
      </c>
      <c r="G352" s="13"/>
      <c r="H352" s="13" t="s">
        <v>1455</v>
      </c>
      <c r="I352" s="13"/>
      <c r="J352" s="13"/>
      <c r="K352" s="13" t="s">
        <v>323</v>
      </c>
      <c r="L352" s="13" t="s">
        <v>217</v>
      </c>
      <c r="M352" s="13" t="s">
        <v>218</v>
      </c>
      <c r="N352" s="13" t="s">
        <v>972</v>
      </c>
      <c r="O352" s="7"/>
    </row>
    <row r="353" s="3" customFormat="1" customHeight="1" spans="1:15">
      <c r="A353" s="13" t="s">
        <v>1456</v>
      </c>
      <c r="B353" s="13" t="s">
        <v>1456</v>
      </c>
      <c r="C353" s="13" t="s">
        <v>1456</v>
      </c>
      <c r="D353" s="13" t="s">
        <v>1456</v>
      </c>
      <c r="E353" s="13" t="s">
        <v>300</v>
      </c>
      <c r="F353" s="13" t="s">
        <v>214</v>
      </c>
      <c r="G353" s="13"/>
      <c r="H353" s="13" t="s">
        <v>1457</v>
      </c>
      <c r="I353" s="13"/>
      <c r="J353" s="13"/>
      <c r="K353" s="13" t="s">
        <v>227</v>
      </c>
      <c r="L353" s="13" t="s">
        <v>228</v>
      </c>
      <c r="M353" s="13" t="s">
        <v>218</v>
      </c>
      <c r="N353" s="13" t="s">
        <v>1458</v>
      </c>
      <c r="O353" s="7"/>
    </row>
    <row r="354" s="3" customFormat="1" customHeight="1" spans="1:15">
      <c r="A354" s="13" t="s">
        <v>1459</v>
      </c>
      <c r="B354" s="13" t="s">
        <v>1459</v>
      </c>
      <c r="C354" s="13" t="s">
        <v>1459</v>
      </c>
      <c r="D354" s="13" t="s">
        <v>1459</v>
      </c>
      <c r="E354" s="13" t="s">
        <v>300</v>
      </c>
      <c r="F354" s="13" t="s">
        <v>214</v>
      </c>
      <c r="G354" s="13"/>
      <c r="H354" s="13" t="s">
        <v>1460</v>
      </c>
      <c r="I354" s="13"/>
      <c r="J354" s="13"/>
      <c r="K354" s="13" t="s">
        <v>1054</v>
      </c>
      <c r="L354" s="13" t="s">
        <v>287</v>
      </c>
      <c r="M354" s="13" t="s">
        <v>218</v>
      </c>
      <c r="N354" s="13" t="s">
        <v>1461</v>
      </c>
      <c r="O354" s="7"/>
    </row>
    <row r="355" s="3" customFormat="1" customHeight="1" spans="1:15">
      <c r="A355" s="13" t="s">
        <v>1462</v>
      </c>
      <c r="B355" s="13" t="s">
        <v>1462</v>
      </c>
      <c r="C355" s="13" t="s">
        <v>1462</v>
      </c>
      <c r="D355" s="13" t="s">
        <v>1462</v>
      </c>
      <c r="E355" s="13" t="s">
        <v>300</v>
      </c>
      <c r="F355" s="13" t="s">
        <v>214</v>
      </c>
      <c r="G355" s="13"/>
      <c r="H355" s="13" t="s">
        <v>1463</v>
      </c>
      <c r="I355" s="13"/>
      <c r="J355" s="13"/>
      <c r="K355" s="13" t="s">
        <v>1359</v>
      </c>
      <c r="L355" s="13" t="s">
        <v>217</v>
      </c>
      <c r="M355" s="13" t="s">
        <v>218</v>
      </c>
      <c r="N355" s="13" t="s">
        <v>1464</v>
      </c>
      <c r="O355" s="7"/>
    </row>
    <row r="356" s="3" customFormat="1" customHeight="1" spans="1:15">
      <c r="A356" s="13" t="s">
        <v>1465</v>
      </c>
      <c r="B356" s="13" t="s">
        <v>1465</v>
      </c>
      <c r="C356" s="13" t="s">
        <v>1465</v>
      </c>
      <c r="D356" s="13" t="s">
        <v>1465</v>
      </c>
      <c r="E356" s="13" t="s">
        <v>300</v>
      </c>
      <c r="F356" s="13" t="s">
        <v>214</v>
      </c>
      <c r="G356" s="13"/>
      <c r="H356" s="13" t="s">
        <v>1466</v>
      </c>
      <c r="I356" s="13"/>
      <c r="J356" s="13"/>
      <c r="K356" s="13" t="s">
        <v>904</v>
      </c>
      <c r="L356" s="13" t="s">
        <v>257</v>
      </c>
      <c r="M356" s="13" t="s">
        <v>218</v>
      </c>
      <c r="N356" s="13" t="s">
        <v>905</v>
      </c>
      <c r="O356" s="7"/>
    </row>
    <row r="357" s="3" customFormat="1" customHeight="1" spans="1:15">
      <c r="A357" s="13" t="s">
        <v>1467</v>
      </c>
      <c r="B357" s="13" t="s">
        <v>1467</v>
      </c>
      <c r="C357" s="13" t="s">
        <v>1467</v>
      </c>
      <c r="D357" s="13" t="s">
        <v>1467</v>
      </c>
      <c r="E357" s="13" t="s">
        <v>300</v>
      </c>
      <c r="F357" s="13" t="s">
        <v>214</v>
      </c>
      <c r="G357" s="13"/>
      <c r="H357" s="13" t="s">
        <v>1468</v>
      </c>
      <c r="I357" s="13"/>
      <c r="J357" s="13"/>
      <c r="K357" s="13" t="s">
        <v>1469</v>
      </c>
      <c r="L357" s="13" t="s">
        <v>1150</v>
      </c>
      <c r="M357" s="13" t="s">
        <v>218</v>
      </c>
      <c r="N357" s="13" t="s">
        <v>1470</v>
      </c>
      <c r="O357" s="7"/>
    </row>
    <row r="358" s="3" customFormat="1" customHeight="1" spans="1:15">
      <c r="A358" s="13" t="s">
        <v>1471</v>
      </c>
      <c r="B358" s="13" t="s">
        <v>1471</v>
      </c>
      <c r="C358" s="13" t="s">
        <v>1471</v>
      </c>
      <c r="D358" s="13" t="s">
        <v>1471</v>
      </c>
      <c r="E358" s="13" t="s">
        <v>300</v>
      </c>
      <c r="F358" s="13" t="s">
        <v>214</v>
      </c>
      <c r="G358" s="13"/>
      <c r="H358" s="13" t="s">
        <v>435</v>
      </c>
      <c r="I358" s="13"/>
      <c r="J358" s="13"/>
      <c r="K358" s="13" t="s">
        <v>1472</v>
      </c>
      <c r="L358" s="13" t="s">
        <v>414</v>
      </c>
      <c r="M358" s="13" t="s">
        <v>218</v>
      </c>
      <c r="N358" s="13" t="s">
        <v>1473</v>
      </c>
      <c r="O358" s="7"/>
    </row>
    <row r="359" s="3" customFormat="1" customHeight="1" spans="1:15">
      <c r="A359" s="13" t="s">
        <v>1474</v>
      </c>
      <c r="B359" s="13" t="s">
        <v>1474</v>
      </c>
      <c r="C359" s="13" t="s">
        <v>1474</v>
      </c>
      <c r="D359" s="13" t="s">
        <v>1474</v>
      </c>
      <c r="E359" s="13" t="s">
        <v>300</v>
      </c>
      <c r="F359" s="13" t="s">
        <v>214</v>
      </c>
      <c r="G359" s="13"/>
      <c r="H359" s="13" t="s">
        <v>1475</v>
      </c>
      <c r="I359" s="13"/>
      <c r="J359" s="13"/>
      <c r="K359" s="13" t="s">
        <v>320</v>
      </c>
      <c r="L359" s="13" t="s">
        <v>217</v>
      </c>
      <c r="M359" s="13" t="s">
        <v>218</v>
      </c>
      <c r="N359" s="13" t="s">
        <v>1476</v>
      </c>
      <c r="O359" s="7"/>
    </row>
    <row r="360" s="3" customFormat="1" customHeight="1" spans="1:15">
      <c r="A360" s="13" t="s">
        <v>1477</v>
      </c>
      <c r="B360" s="13" t="s">
        <v>1477</v>
      </c>
      <c r="C360" s="13" t="s">
        <v>1477</v>
      </c>
      <c r="D360" s="13" t="s">
        <v>1477</v>
      </c>
      <c r="E360" s="13" t="s">
        <v>300</v>
      </c>
      <c r="F360" s="13" t="s">
        <v>214</v>
      </c>
      <c r="G360" s="13"/>
      <c r="H360" s="13" t="s">
        <v>1478</v>
      </c>
      <c r="I360" s="13"/>
      <c r="J360" s="13"/>
      <c r="K360" s="13" t="s">
        <v>390</v>
      </c>
      <c r="L360" s="13" t="s">
        <v>391</v>
      </c>
      <c r="M360" s="13" t="s">
        <v>218</v>
      </c>
      <c r="N360" s="13" t="s">
        <v>1479</v>
      </c>
      <c r="O360" s="7"/>
    </row>
    <row r="361" s="3" customFormat="1" customHeight="1" spans="1:15">
      <c r="A361" s="13" t="s">
        <v>1480</v>
      </c>
      <c r="B361" s="13" t="s">
        <v>1480</v>
      </c>
      <c r="C361" s="13" t="s">
        <v>1480</v>
      </c>
      <c r="D361" s="13" t="s">
        <v>1480</v>
      </c>
      <c r="E361" s="13" t="s">
        <v>300</v>
      </c>
      <c r="F361" s="13" t="s">
        <v>214</v>
      </c>
      <c r="G361" s="13"/>
      <c r="H361" s="13" t="s">
        <v>1481</v>
      </c>
      <c r="I361" s="13"/>
      <c r="J361" s="13"/>
      <c r="K361" s="13" t="s">
        <v>1482</v>
      </c>
      <c r="L361" s="13" t="s">
        <v>1483</v>
      </c>
      <c r="M361" s="13" t="s">
        <v>218</v>
      </c>
      <c r="N361" s="13" t="s">
        <v>1484</v>
      </c>
      <c r="O361" s="7"/>
    </row>
    <row r="362" s="3" customFormat="1" customHeight="1" spans="1:15">
      <c r="A362" s="13" t="s">
        <v>1485</v>
      </c>
      <c r="B362" s="13" t="s">
        <v>1485</v>
      </c>
      <c r="C362" s="13" t="s">
        <v>1485</v>
      </c>
      <c r="D362" s="13" t="s">
        <v>1485</v>
      </c>
      <c r="E362" s="13" t="s">
        <v>300</v>
      </c>
      <c r="F362" s="13" t="s">
        <v>214</v>
      </c>
      <c r="G362" s="13"/>
      <c r="H362" s="13" t="s">
        <v>1486</v>
      </c>
      <c r="I362" s="13"/>
      <c r="J362" s="13"/>
      <c r="K362" s="13" t="s">
        <v>1487</v>
      </c>
      <c r="L362" s="13" t="s">
        <v>235</v>
      </c>
      <c r="M362" s="13" t="s">
        <v>218</v>
      </c>
      <c r="N362" s="13" t="s">
        <v>1488</v>
      </c>
      <c r="O362" s="7"/>
    </row>
    <row r="363" s="3" customFormat="1" customHeight="1" spans="1:15">
      <c r="A363" s="13" t="s">
        <v>1489</v>
      </c>
      <c r="B363" s="13" t="s">
        <v>1489</v>
      </c>
      <c r="C363" s="13" t="s">
        <v>1489</v>
      </c>
      <c r="D363" s="13" t="s">
        <v>1489</v>
      </c>
      <c r="E363" s="13" t="s">
        <v>300</v>
      </c>
      <c r="F363" s="13" t="s">
        <v>214</v>
      </c>
      <c r="G363" s="13"/>
      <c r="H363" s="13" t="s">
        <v>1490</v>
      </c>
      <c r="I363" s="13"/>
      <c r="J363" s="13"/>
      <c r="K363" s="13" t="s">
        <v>1491</v>
      </c>
      <c r="L363" s="13" t="s">
        <v>1492</v>
      </c>
      <c r="M363" s="13" t="s">
        <v>218</v>
      </c>
      <c r="N363" s="13" t="s">
        <v>1493</v>
      </c>
      <c r="O363" s="7"/>
    </row>
    <row r="364" s="3" customFormat="1" customHeight="1" spans="1:15">
      <c r="A364" s="13" t="s">
        <v>1494</v>
      </c>
      <c r="B364" s="13" t="s">
        <v>1494</v>
      </c>
      <c r="C364" s="13" t="s">
        <v>1494</v>
      </c>
      <c r="D364" s="13" t="s">
        <v>1494</v>
      </c>
      <c r="E364" s="13" t="s">
        <v>300</v>
      </c>
      <c r="F364" s="13" t="s">
        <v>214</v>
      </c>
      <c r="G364" s="13"/>
      <c r="H364" s="13" t="s">
        <v>1495</v>
      </c>
      <c r="I364" s="13"/>
      <c r="J364" s="13"/>
      <c r="K364" s="13" t="s">
        <v>1496</v>
      </c>
      <c r="L364" s="13" t="s">
        <v>228</v>
      </c>
      <c r="M364" s="13" t="s">
        <v>218</v>
      </c>
      <c r="N364" s="13" t="s">
        <v>1497</v>
      </c>
      <c r="O364" s="7"/>
    </row>
    <row r="365" s="3" customFormat="1" customHeight="1" spans="1:15">
      <c r="A365" s="13" t="s">
        <v>1498</v>
      </c>
      <c r="B365" s="13" t="s">
        <v>1498</v>
      </c>
      <c r="C365" s="13" t="s">
        <v>1498</v>
      </c>
      <c r="D365" s="13" t="s">
        <v>1498</v>
      </c>
      <c r="E365" s="13" t="s">
        <v>300</v>
      </c>
      <c r="F365" s="13" t="s">
        <v>214</v>
      </c>
      <c r="G365" s="13"/>
      <c r="H365" s="13" t="s">
        <v>1499</v>
      </c>
      <c r="I365" s="13"/>
      <c r="J365" s="13"/>
      <c r="K365" s="13" t="s">
        <v>1500</v>
      </c>
      <c r="L365" s="13" t="s">
        <v>1200</v>
      </c>
      <c r="M365" s="13" t="s">
        <v>218</v>
      </c>
      <c r="N365" s="13" t="s">
        <v>1501</v>
      </c>
      <c r="O365" s="7"/>
    </row>
    <row r="366" s="3" customFormat="1" customHeight="1" spans="1:15">
      <c r="A366" s="13" t="s">
        <v>1502</v>
      </c>
      <c r="B366" s="13" t="s">
        <v>1502</v>
      </c>
      <c r="C366" s="13" t="s">
        <v>1502</v>
      </c>
      <c r="D366" s="13" t="s">
        <v>1502</v>
      </c>
      <c r="E366" s="13" t="s">
        <v>300</v>
      </c>
      <c r="F366" s="13" t="s">
        <v>214</v>
      </c>
      <c r="G366" s="13"/>
      <c r="H366" s="13" t="s">
        <v>1503</v>
      </c>
      <c r="I366" s="13"/>
      <c r="J366" s="13"/>
      <c r="K366" s="13" t="s">
        <v>1504</v>
      </c>
      <c r="L366" s="13" t="s">
        <v>382</v>
      </c>
      <c r="M366" s="13" t="s">
        <v>218</v>
      </c>
      <c r="N366" s="13" t="s">
        <v>1505</v>
      </c>
      <c r="O366" s="7"/>
    </row>
    <row r="367" s="3" customFormat="1" customHeight="1" spans="1:15">
      <c r="A367" s="13" t="s">
        <v>1506</v>
      </c>
      <c r="B367" s="13" t="s">
        <v>1506</v>
      </c>
      <c r="C367" s="13" t="s">
        <v>1506</v>
      </c>
      <c r="D367" s="13" t="s">
        <v>1506</v>
      </c>
      <c r="E367" s="13" t="s">
        <v>300</v>
      </c>
      <c r="F367" s="13" t="s">
        <v>214</v>
      </c>
      <c r="G367" s="13"/>
      <c r="H367" s="13" t="s">
        <v>1507</v>
      </c>
      <c r="I367" s="13"/>
      <c r="J367" s="13"/>
      <c r="K367" s="13" t="s">
        <v>740</v>
      </c>
      <c r="L367" s="13" t="s">
        <v>732</v>
      </c>
      <c r="M367" s="13" t="s">
        <v>218</v>
      </c>
      <c r="N367" s="13" t="s">
        <v>1508</v>
      </c>
      <c r="O367" s="7"/>
    </row>
    <row r="368" s="3" customFormat="1" customHeight="1" spans="1:15">
      <c r="A368" s="13" t="s">
        <v>1509</v>
      </c>
      <c r="B368" s="13" t="s">
        <v>1509</v>
      </c>
      <c r="C368" s="13" t="s">
        <v>1509</v>
      </c>
      <c r="D368" s="13" t="s">
        <v>1509</v>
      </c>
      <c r="E368" s="13" t="s">
        <v>300</v>
      </c>
      <c r="F368" s="55" t="s">
        <v>214</v>
      </c>
      <c r="G368" s="13"/>
      <c r="H368" s="13" t="s">
        <v>1510</v>
      </c>
      <c r="I368" s="13"/>
      <c r="J368" s="13"/>
      <c r="K368" s="13" t="s">
        <v>1511</v>
      </c>
      <c r="L368" s="13" t="s">
        <v>217</v>
      </c>
      <c r="M368" s="13" t="s">
        <v>218</v>
      </c>
      <c r="N368" s="13" t="s">
        <v>1512</v>
      </c>
      <c r="O368" s="7"/>
    </row>
    <row r="369" s="3" customFormat="1" customHeight="1" spans="1:15">
      <c r="A369" s="13" t="s">
        <v>1513</v>
      </c>
      <c r="B369" s="13" t="s">
        <v>1513</v>
      </c>
      <c r="C369" s="13" t="s">
        <v>1513</v>
      </c>
      <c r="D369" s="13" t="s">
        <v>1513</v>
      </c>
      <c r="E369" s="13" t="s">
        <v>300</v>
      </c>
      <c r="F369" s="13" t="s">
        <v>214</v>
      </c>
      <c r="G369" s="13"/>
      <c r="H369" s="13" t="s">
        <v>1514</v>
      </c>
      <c r="I369" s="13"/>
      <c r="J369" s="13"/>
      <c r="K369" s="13" t="s">
        <v>370</v>
      </c>
      <c r="L369" s="13" t="s">
        <v>217</v>
      </c>
      <c r="M369" s="13" t="s">
        <v>218</v>
      </c>
      <c r="N369" s="13">
        <v>92223</v>
      </c>
      <c r="O369" s="7"/>
    </row>
    <row r="370" s="3" customFormat="1" customHeight="1" spans="1:15">
      <c r="A370" s="13" t="s">
        <v>1515</v>
      </c>
      <c r="B370" s="13" t="s">
        <v>1515</v>
      </c>
      <c r="C370" s="13" t="s">
        <v>1515</v>
      </c>
      <c r="D370" s="13" t="s">
        <v>1515</v>
      </c>
      <c r="E370" s="13" t="s">
        <v>300</v>
      </c>
      <c r="F370" s="13" t="s">
        <v>214</v>
      </c>
      <c r="G370" s="13"/>
      <c r="H370" s="13" t="s">
        <v>1516</v>
      </c>
      <c r="I370" s="13"/>
      <c r="J370" s="13"/>
      <c r="K370" s="13" t="s">
        <v>1517</v>
      </c>
      <c r="L370" s="13" t="s">
        <v>257</v>
      </c>
      <c r="M370" s="13" t="s">
        <v>218</v>
      </c>
      <c r="N370" s="13" t="s">
        <v>1518</v>
      </c>
      <c r="O370" s="7"/>
    </row>
    <row r="371" s="3" customFormat="1" customHeight="1" spans="1:15">
      <c r="A371" s="3" t="s">
        <v>1519</v>
      </c>
      <c r="B371" s="3" t="s">
        <v>1519</v>
      </c>
      <c r="C371" s="3" t="s">
        <v>1519</v>
      </c>
      <c r="D371" s="3" t="s">
        <v>1519</v>
      </c>
      <c r="E371" s="13" t="s">
        <v>300</v>
      </c>
      <c r="F371" s="13" t="s">
        <v>214</v>
      </c>
      <c r="H371" s="3" t="s">
        <v>1520</v>
      </c>
      <c r="K371" s="3" t="s">
        <v>996</v>
      </c>
      <c r="L371" s="3" t="s">
        <v>217</v>
      </c>
      <c r="M371" s="13" t="s">
        <v>218</v>
      </c>
      <c r="N371" s="3" t="s">
        <v>1521</v>
      </c>
      <c r="O371" s="7"/>
    </row>
    <row r="372" s="3" customFormat="1" customHeight="1" spans="1:15">
      <c r="A372" s="14" t="s">
        <v>1522</v>
      </c>
      <c r="B372" s="14" t="s">
        <v>1522</v>
      </c>
      <c r="C372" s="14" t="s">
        <v>1522</v>
      </c>
      <c r="D372" s="14" t="s">
        <v>1522</v>
      </c>
      <c r="E372" s="13" t="s">
        <v>300</v>
      </c>
      <c r="F372" s="13" t="s">
        <v>214</v>
      </c>
      <c r="H372" s="3" t="s">
        <v>1523</v>
      </c>
      <c r="K372" s="3" t="s">
        <v>1524</v>
      </c>
      <c r="L372" s="3" t="s">
        <v>217</v>
      </c>
      <c r="M372" s="13" t="s">
        <v>218</v>
      </c>
      <c r="N372" s="3">
        <v>91761</v>
      </c>
      <c r="O372" s="7"/>
    </row>
    <row r="373" s="3" customFormat="1" customHeight="1" spans="1:15">
      <c r="A373" s="3" t="s">
        <v>1525</v>
      </c>
      <c r="B373" s="3" t="s">
        <v>1525</v>
      </c>
      <c r="C373" s="3" t="s">
        <v>1525</v>
      </c>
      <c r="D373" s="3" t="s">
        <v>1525</v>
      </c>
      <c r="E373" s="13" t="s">
        <v>300</v>
      </c>
      <c r="F373" s="13" t="s">
        <v>214</v>
      </c>
      <c r="H373" s="3" t="s">
        <v>1526</v>
      </c>
      <c r="K373" s="3" t="s">
        <v>1527</v>
      </c>
      <c r="L373" s="3" t="s">
        <v>217</v>
      </c>
      <c r="M373" s="13" t="s">
        <v>218</v>
      </c>
      <c r="N373" s="3">
        <v>92509</v>
      </c>
      <c r="O373" s="7"/>
    </row>
    <row r="374" s="3" customFormat="1" customHeight="1" spans="1:15">
      <c r="A374" s="3" t="s">
        <v>1528</v>
      </c>
      <c r="B374" s="3" t="s">
        <v>1528</v>
      </c>
      <c r="C374" s="3" t="s">
        <v>1528</v>
      </c>
      <c r="D374" s="3" t="s">
        <v>1528</v>
      </c>
      <c r="E374" s="13" t="s">
        <v>300</v>
      </c>
      <c r="F374" s="13" t="s">
        <v>214</v>
      </c>
      <c r="H374" s="3" t="s">
        <v>1529</v>
      </c>
      <c r="K374" s="3" t="s">
        <v>1530</v>
      </c>
      <c r="L374" s="3" t="s">
        <v>647</v>
      </c>
      <c r="M374" s="13" t="s">
        <v>218</v>
      </c>
      <c r="N374" s="3">
        <v>29330</v>
      </c>
      <c r="O374" s="7"/>
    </row>
    <row r="375" s="3" customFormat="1" customHeight="1" spans="1:15">
      <c r="A375" s="3" t="s">
        <v>1531</v>
      </c>
      <c r="B375" s="3" t="s">
        <v>1531</v>
      </c>
      <c r="C375" s="3" t="s">
        <v>1531</v>
      </c>
      <c r="D375" s="3" t="s">
        <v>1531</v>
      </c>
      <c r="E375" s="13" t="s">
        <v>300</v>
      </c>
      <c r="F375" s="13" t="s">
        <v>214</v>
      </c>
      <c r="H375" s="3" t="s">
        <v>1532</v>
      </c>
      <c r="K375" s="3" t="s">
        <v>1533</v>
      </c>
      <c r="L375" s="3" t="s">
        <v>217</v>
      </c>
      <c r="M375" s="13" t="s">
        <v>218</v>
      </c>
      <c r="N375" s="3">
        <v>95023</v>
      </c>
      <c r="O375" s="7"/>
    </row>
    <row r="376" s="3" customFormat="1" customHeight="1" spans="1:15">
      <c r="A376" s="3" t="s">
        <v>1534</v>
      </c>
      <c r="B376" s="3" t="s">
        <v>1534</v>
      </c>
      <c r="C376" s="3" t="s">
        <v>1534</v>
      </c>
      <c r="D376" s="3" t="s">
        <v>1534</v>
      </c>
      <c r="E376" s="13" t="s">
        <v>300</v>
      </c>
      <c r="F376" s="13" t="s">
        <v>214</v>
      </c>
      <c r="H376" s="3" t="s">
        <v>1535</v>
      </c>
      <c r="K376" s="3" t="s">
        <v>320</v>
      </c>
      <c r="L376" s="3" t="s">
        <v>217</v>
      </c>
      <c r="M376" s="13" t="s">
        <v>218</v>
      </c>
      <c r="N376" s="3">
        <v>95215</v>
      </c>
      <c r="O376" s="7"/>
    </row>
    <row r="377" s="3" customFormat="1" customHeight="1" spans="1:15">
      <c r="A377" s="3" t="s">
        <v>1536</v>
      </c>
      <c r="B377" s="3" t="s">
        <v>1536</v>
      </c>
      <c r="C377" s="3" t="s">
        <v>1536</v>
      </c>
      <c r="D377" s="3" t="s">
        <v>1536</v>
      </c>
      <c r="E377" s="13" t="s">
        <v>300</v>
      </c>
      <c r="F377" s="13" t="s">
        <v>214</v>
      </c>
      <c r="H377" s="3" t="s">
        <v>1537</v>
      </c>
      <c r="K377" s="3" t="s">
        <v>320</v>
      </c>
      <c r="L377" s="3" t="s">
        <v>217</v>
      </c>
      <c r="M377" s="13" t="s">
        <v>218</v>
      </c>
      <c r="N377" s="3">
        <v>95206</v>
      </c>
      <c r="O377" s="7"/>
    </row>
    <row r="378" s="3" customFormat="1" customHeight="1" spans="1:15">
      <c r="A378" s="3" t="s">
        <v>1538</v>
      </c>
      <c r="B378" s="3" t="s">
        <v>1538</v>
      </c>
      <c r="C378" s="3" t="s">
        <v>1538</v>
      </c>
      <c r="D378" s="3" t="s">
        <v>1538</v>
      </c>
      <c r="E378" s="13" t="s">
        <v>300</v>
      </c>
      <c r="F378" s="13" t="s">
        <v>214</v>
      </c>
      <c r="H378" s="3" t="s">
        <v>1539</v>
      </c>
      <c r="K378" s="3" t="s">
        <v>293</v>
      </c>
      <c r="L378" s="3" t="s">
        <v>287</v>
      </c>
      <c r="M378" s="13" t="s">
        <v>218</v>
      </c>
      <c r="N378" s="3">
        <v>17225</v>
      </c>
      <c r="O378" s="7"/>
    </row>
    <row r="379" s="3" customFormat="1" customHeight="1" spans="1:15">
      <c r="A379" s="3" t="s">
        <v>1540</v>
      </c>
      <c r="B379" s="3" t="s">
        <v>1540</v>
      </c>
      <c r="C379" s="3" t="s">
        <v>1540</v>
      </c>
      <c r="D379" s="3" t="s">
        <v>1540</v>
      </c>
      <c r="E379" s="13" t="s">
        <v>300</v>
      </c>
      <c r="F379" s="13" t="s">
        <v>214</v>
      </c>
      <c r="H379" s="3" t="s">
        <v>1541</v>
      </c>
      <c r="K379" s="3" t="s">
        <v>490</v>
      </c>
      <c r="L379" s="3" t="s">
        <v>287</v>
      </c>
      <c r="M379" s="13" t="s">
        <v>218</v>
      </c>
      <c r="N379" s="3">
        <v>18031</v>
      </c>
      <c r="O379" s="7"/>
    </row>
    <row r="380" s="3" customFormat="1" customHeight="1" spans="1:15">
      <c r="A380" s="3" t="s">
        <v>1542</v>
      </c>
      <c r="B380" s="3" t="s">
        <v>1542</v>
      </c>
      <c r="C380" s="3" t="s">
        <v>1542</v>
      </c>
      <c r="D380" s="3" t="s">
        <v>1542</v>
      </c>
      <c r="E380" s="13" t="s">
        <v>300</v>
      </c>
      <c r="F380" s="13" t="s">
        <v>214</v>
      </c>
      <c r="H380" s="3" t="s">
        <v>1543</v>
      </c>
      <c r="K380" s="3" t="s">
        <v>1544</v>
      </c>
      <c r="L380" s="3" t="s">
        <v>282</v>
      </c>
      <c r="M380" s="13" t="s">
        <v>218</v>
      </c>
      <c r="N380" s="10" t="s">
        <v>1545</v>
      </c>
      <c r="O380" s="7"/>
    </row>
    <row r="381" s="3" customFormat="1" customHeight="1" spans="1:15">
      <c r="A381" s="3" t="s">
        <v>1546</v>
      </c>
      <c r="B381" s="3" t="s">
        <v>1546</v>
      </c>
      <c r="C381" s="3" t="s">
        <v>1546</v>
      </c>
      <c r="D381" s="3" t="s">
        <v>1546</v>
      </c>
      <c r="E381" s="13" t="s">
        <v>300</v>
      </c>
      <c r="F381" s="13" t="s">
        <v>214</v>
      </c>
      <c r="H381" s="3" t="s">
        <v>1547</v>
      </c>
      <c r="K381" s="3" t="s">
        <v>638</v>
      </c>
      <c r="L381" s="3" t="s">
        <v>343</v>
      </c>
      <c r="M381" s="13" t="s">
        <v>218</v>
      </c>
      <c r="N381" s="3">
        <v>21224</v>
      </c>
      <c r="O381" s="7"/>
    </row>
    <row r="382" s="3" customFormat="1" customHeight="1" spans="1:15">
      <c r="A382" s="3" t="s">
        <v>1548</v>
      </c>
      <c r="B382" s="3" t="s">
        <v>1548</v>
      </c>
      <c r="C382" s="3" t="s">
        <v>1548</v>
      </c>
      <c r="D382" s="3" t="s">
        <v>1548</v>
      </c>
      <c r="E382" s="13" t="s">
        <v>300</v>
      </c>
      <c r="F382" s="13" t="s">
        <v>214</v>
      </c>
      <c r="H382" s="3" t="s">
        <v>1549</v>
      </c>
      <c r="K382" s="3" t="s">
        <v>1550</v>
      </c>
      <c r="L382" s="3" t="s">
        <v>268</v>
      </c>
      <c r="M382" s="13" t="s">
        <v>218</v>
      </c>
      <c r="N382" s="3">
        <v>31407</v>
      </c>
      <c r="O382" s="7"/>
    </row>
    <row r="383" s="3" customFormat="1" customHeight="1" spans="1:15">
      <c r="A383" s="3" t="s">
        <v>1551</v>
      </c>
      <c r="B383" s="3" t="s">
        <v>1551</v>
      </c>
      <c r="C383" s="3" t="s">
        <v>1551</v>
      </c>
      <c r="D383" s="3" t="s">
        <v>1551</v>
      </c>
      <c r="E383" s="13" t="s">
        <v>300</v>
      </c>
      <c r="F383" s="56" t="s">
        <v>214</v>
      </c>
      <c r="H383" s="3" t="s">
        <v>1552</v>
      </c>
      <c r="K383" s="12" t="s">
        <v>1553</v>
      </c>
      <c r="L383" s="12" t="s">
        <v>217</v>
      </c>
      <c r="M383" s="13" t="s">
        <v>218</v>
      </c>
      <c r="N383" s="12" t="s">
        <v>1554</v>
      </c>
      <c r="O383" s="7"/>
    </row>
    <row r="384" s="3" customFormat="1" customHeight="1" spans="1:15">
      <c r="A384" s="3" t="s">
        <v>1555</v>
      </c>
      <c r="B384" s="3" t="s">
        <v>1555</v>
      </c>
      <c r="C384" s="3" t="s">
        <v>1555</v>
      </c>
      <c r="D384" s="3" t="s">
        <v>1555</v>
      </c>
      <c r="E384" s="13" t="s">
        <v>300</v>
      </c>
      <c r="F384" s="56" t="s">
        <v>214</v>
      </c>
      <c r="H384" s="3" t="s">
        <v>1556</v>
      </c>
      <c r="K384" s="3" t="s">
        <v>1557</v>
      </c>
      <c r="L384" s="3" t="s">
        <v>249</v>
      </c>
      <c r="M384" s="13" t="s">
        <v>218</v>
      </c>
      <c r="N384" s="3">
        <v>32712</v>
      </c>
      <c r="O384" s="7"/>
    </row>
    <row r="385" s="3" customFormat="1" customHeight="1" spans="1:15">
      <c r="A385" s="3" t="s">
        <v>1558</v>
      </c>
      <c r="B385" s="3" t="s">
        <v>1558</v>
      </c>
      <c r="C385" s="3" t="s">
        <v>1558</v>
      </c>
      <c r="D385" s="3" t="s">
        <v>1558</v>
      </c>
      <c r="E385" s="13" t="s">
        <v>300</v>
      </c>
      <c r="F385" s="56" t="s">
        <v>214</v>
      </c>
      <c r="H385" s="3" t="s">
        <v>1559</v>
      </c>
      <c r="K385" s="3" t="s">
        <v>1560</v>
      </c>
      <c r="L385" s="3" t="s">
        <v>217</v>
      </c>
      <c r="M385" s="13" t="s">
        <v>218</v>
      </c>
      <c r="N385" s="3">
        <v>92344</v>
      </c>
      <c r="O385" s="7"/>
    </row>
    <row r="386" s="3" customFormat="1" customHeight="1" spans="1:15">
      <c r="A386" s="3" t="s">
        <v>1561</v>
      </c>
      <c r="B386" s="3" t="s">
        <v>1561</v>
      </c>
      <c r="C386" s="3" t="s">
        <v>1561</v>
      </c>
      <c r="D386" s="3" t="s">
        <v>1561</v>
      </c>
      <c r="E386" s="13" t="s">
        <v>300</v>
      </c>
      <c r="F386" s="56" t="s">
        <v>214</v>
      </c>
      <c r="H386" s="3" t="s">
        <v>1562</v>
      </c>
      <c r="K386" s="3" t="s">
        <v>1563</v>
      </c>
      <c r="L386" s="3" t="s">
        <v>217</v>
      </c>
      <c r="M386" s="13" t="s">
        <v>218</v>
      </c>
      <c r="N386" s="3">
        <v>95742</v>
      </c>
      <c r="O386" s="7"/>
    </row>
    <row r="387" s="3" customFormat="1" customHeight="1" spans="1:15">
      <c r="A387" s="3" t="s">
        <v>1564</v>
      </c>
      <c r="B387" s="3" t="s">
        <v>1564</v>
      </c>
      <c r="C387" s="3" t="s">
        <v>1564</v>
      </c>
      <c r="D387" s="3" t="s">
        <v>1564</v>
      </c>
      <c r="E387" s="13" t="s">
        <v>300</v>
      </c>
      <c r="F387" s="56" t="s">
        <v>214</v>
      </c>
      <c r="H387" s="3" t="s">
        <v>1565</v>
      </c>
      <c r="K387" s="3" t="s">
        <v>867</v>
      </c>
      <c r="L387" s="3" t="s">
        <v>224</v>
      </c>
      <c r="M387" s="13" t="s">
        <v>218</v>
      </c>
      <c r="N387" s="3">
        <v>85338</v>
      </c>
      <c r="O387" s="7"/>
    </row>
    <row r="388" s="3" customFormat="1" customHeight="1" spans="1:15">
      <c r="A388" s="3" t="s">
        <v>1566</v>
      </c>
      <c r="B388" s="3" t="s">
        <v>1566</v>
      </c>
      <c r="C388" s="3" t="s">
        <v>1566</v>
      </c>
      <c r="D388" s="3" t="s">
        <v>1566</v>
      </c>
      <c r="E388" s="13" t="s">
        <v>300</v>
      </c>
      <c r="F388" s="56" t="s">
        <v>214</v>
      </c>
      <c r="H388" s="3" t="s">
        <v>1567</v>
      </c>
      <c r="K388" s="3" t="s">
        <v>1568</v>
      </c>
      <c r="L388" s="3" t="s">
        <v>217</v>
      </c>
      <c r="M388" s="13" t="s">
        <v>218</v>
      </c>
      <c r="N388" s="3">
        <v>92240</v>
      </c>
      <c r="O388" s="7"/>
    </row>
    <row r="389" s="3" customFormat="1" customHeight="1" spans="1:15">
      <c r="A389" s="3" t="s">
        <v>1569</v>
      </c>
      <c r="B389" s="3" t="s">
        <v>1569</v>
      </c>
      <c r="C389" s="3" t="s">
        <v>1569</v>
      </c>
      <c r="D389" s="3" t="s">
        <v>1569</v>
      </c>
      <c r="E389" s="13" t="s">
        <v>300</v>
      </c>
      <c r="F389" s="56" t="s">
        <v>214</v>
      </c>
      <c r="H389" s="3" t="s">
        <v>1570</v>
      </c>
      <c r="K389" s="3" t="s">
        <v>1571</v>
      </c>
      <c r="L389" s="3" t="s">
        <v>264</v>
      </c>
      <c r="M389" s="13" t="s">
        <v>218</v>
      </c>
      <c r="N389" s="3">
        <v>43054</v>
      </c>
      <c r="O389" s="7"/>
    </row>
    <row r="390" s="3" customFormat="1" customHeight="1" spans="1:15">
      <c r="A390" s="3" t="s">
        <v>1572</v>
      </c>
      <c r="B390" s="3" t="s">
        <v>1572</v>
      </c>
      <c r="C390" s="3" t="s">
        <v>1572</v>
      </c>
      <c r="D390" s="3" t="s">
        <v>1572</v>
      </c>
      <c r="E390" s="13" t="s">
        <v>213</v>
      </c>
      <c r="F390" s="56" t="s">
        <v>214</v>
      </c>
      <c r="H390" s="3" t="s">
        <v>1573</v>
      </c>
      <c r="K390" s="3" t="s">
        <v>227</v>
      </c>
      <c r="L390" s="3" t="s">
        <v>228</v>
      </c>
      <c r="M390" s="13" t="s">
        <v>218</v>
      </c>
      <c r="N390" s="3">
        <v>76052</v>
      </c>
      <c r="O390" s="7"/>
    </row>
    <row r="391" s="3" customFormat="1" customHeight="1" spans="1:15">
      <c r="A391" s="15" t="s">
        <v>1574</v>
      </c>
      <c r="B391" s="15" t="s">
        <v>1574</v>
      </c>
      <c r="C391" s="15" t="s">
        <v>1574</v>
      </c>
      <c r="D391" s="15" t="s">
        <v>1574</v>
      </c>
      <c r="E391" s="13" t="s">
        <v>300</v>
      </c>
      <c r="F391" s="15" t="s">
        <v>291</v>
      </c>
      <c r="G391" s="15"/>
      <c r="H391" s="15" t="s">
        <v>1575</v>
      </c>
      <c r="K391" s="15" t="s">
        <v>1576</v>
      </c>
      <c r="L391" s="15" t="s">
        <v>264</v>
      </c>
      <c r="M391" s="13" t="s">
        <v>218</v>
      </c>
      <c r="N391" s="15" t="s">
        <v>1577</v>
      </c>
      <c r="O391" s="7"/>
    </row>
    <row r="392" s="3" customFormat="1" customHeight="1" spans="1:15">
      <c r="A392" s="3" t="s">
        <v>1578</v>
      </c>
      <c r="B392" s="3" t="s">
        <v>1578</v>
      </c>
      <c r="C392" s="3" t="s">
        <v>1578</v>
      </c>
      <c r="D392" s="3" t="s">
        <v>1578</v>
      </c>
      <c r="E392" s="13" t="s">
        <v>213</v>
      </c>
      <c r="F392" s="56" t="s">
        <v>214</v>
      </c>
      <c r="H392" s="3" t="s">
        <v>1579</v>
      </c>
      <c r="K392" s="3" t="s">
        <v>256</v>
      </c>
      <c r="L392" s="3" t="s">
        <v>257</v>
      </c>
      <c r="M392" s="13" t="s">
        <v>218</v>
      </c>
      <c r="N392" s="3">
        <v>46168</v>
      </c>
      <c r="O392" s="7"/>
    </row>
    <row r="393" s="3" customFormat="1" customHeight="1" spans="1:15">
      <c r="A393" s="12" t="s">
        <v>1580</v>
      </c>
      <c r="B393" s="12" t="s">
        <v>1580</v>
      </c>
      <c r="C393" s="12" t="s">
        <v>1522</v>
      </c>
      <c r="D393" s="12" t="s">
        <v>1522</v>
      </c>
      <c r="E393" s="13" t="s">
        <v>300</v>
      </c>
      <c r="F393" s="56" t="s">
        <v>291</v>
      </c>
      <c r="H393" s="3" t="s">
        <v>1581</v>
      </c>
      <c r="K393" s="3" t="s">
        <v>1582</v>
      </c>
      <c r="L393" s="3" t="s">
        <v>217</v>
      </c>
      <c r="M393" s="13" t="s">
        <v>218</v>
      </c>
      <c r="N393" s="3">
        <v>91761</v>
      </c>
      <c r="O393" s="7"/>
    </row>
    <row r="394" s="3" customFormat="1" customHeight="1" spans="1:15">
      <c r="A394" s="3" t="s">
        <v>1583</v>
      </c>
      <c r="B394" s="3" t="s">
        <v>1583</v>
      </c>
      <c r="C394" s="3" t="s">
        <v>1583</v>
      </c>
      <c r="D394" s="3" t="s">
        <v>1583</v>
      </c>
      <c r="E394" s="13" t="s">
        <v>300</v>
      </c>
      <c r="F394" s="56" t="s">
        <v>291</v>
      </c>
      <c r="H394" s="3" t="s">
        <v>1584</v>
      </c>
      <c r="K394" s="3" t="s">
        <v>1585</v>
      </c>
      <c r="L394" s="3" t="s">
        <v>224</v>
      </c>
      <c r="M394" s="13" t="s">
        <v>218</v>
      </c>
      <c r="N394" s="3">
        <v>85212</v>
      </c>
      <c r="O394" s="7"/>
    </row>
    <row r="395" s="3" customFormat="1" customHeight="1" spans="1:15">
      <c r="A395" s="3" t="s">
        <v>1586</v>
      </c>
      <c r="B395" s="3" t="s">
        <v>1586</v>
      </c>
      <c r="C395" s="3" t="s">
        <v>1586</v>
      </c>
      <c r="D395" s="3" t="s">
        <v>1586</v>
      </c>
      <c r="E395" s="13" t="s">
        <v>300</v>
      </c>
      <c r="F395" s="3">
        <v>1234567890</v>
      </c>
      <c r="H395" s="3" t="s">
        <v>1587</v>
      </c>
      <c r="K395" s="3" t="s">
        <v>1113</v>
      </c>
      <c r="L395" s="3" t="s">
        <v>1373</v>
      </c>
      <c r="M395" s="13" t="s">
        <v>218</v>
      </c>
      <c r="N395" s="3">
        <v>64163</v>
      </c>
      <c r="O395" s="7"/>
    </row>
    <row r="396" s="3" customFormat="1" customHeight="1" spans="1:15">
      <c r="A396" s="3" t="s">
        <v>1588</v>
      </c>
      <c r="B396" s="3" t="s">
        <v>1588</v>
      </c>
      <c r="C396" s="3" t="s">
        <v>1588</v>
      </c>
      <c r="D396" s="3" t="s">
        <v>1588</v>
      </c>
      <c r="E396" s="3" t="s">
        <v>300</v>
      </c>
      <c r="F396" s="56" t="s">
        <v>214</v>
      </c>
      <c r="H396" s="3" t="s">
        <v>1589</v>
      </c>
      <c r="K396" s="3" t="s">
        <v>740</v>
      </c>
      <c r="L396" s="3" t="s">
        <v>732</v>
      </c>
      <c r="M396" s="13" t="s">
        <v>218</v>
      </c>
      <c r="N396" s="3">
        <v>80019</v>
      </c>
      <c r="O396" s="7"/>
    </row>
    <row r="397" s="3" customFormat="1" customHeight="1" spans="1:15">
      <c r="A397" s="3" t="s">
        <v>1590</v>
      </c>
      <c r="B397" s="3" t="s">
        <v>1590</v>
      </c>
      <c r="C397" s="3" t="s">
        <v>1590</v>
      </c>
      <c r="D397" s="3" t="s">
        <v>1590</v>
      </c>
      <c r="E397" s="3" t="s">
        <v>300</v>
      </c>
      <c r="F397" s="56" t="s">
        <v>291</v>
      </c>
      <c r="H397" s="3" t="s">
        <v>1591</v>
      </c>
      <c r="K397" s="3" t="s">
        <v>1592</v>
      </c>
      <c r="L397" s="3" t="s">
        <v>1373</v>
      </c>
      <c r="M397" s="13" t="s">
        <v>218</v>
      </c>
      <c r="N397" s="3" t="s">
        <v>1593</v>
      </c>
      <c r="O397" s="7"/>
    </row>
    <row r="398" s="6" customFormat="1" customHeight="1" spans="1:15">
      <c r="A398" s="6" t="s">
        <v>1594</v>
      </c>
      <c r="B398" s="6" t="s">
        <v>1594</v>
      </c>
      <c r="C398" s="6" t="s">
        <v>1594</v>
      </c>
      <c r="D398" s="6" t="s">
        <v>1594</v>
      </c>
      <c r="E398" s="6" t="s">
        <v>300</v>
      </c>
      <c r="F398" s="57" t="s">
        <v>214</v>
      </c>
      <c r="H398" s="6" t="s">
        <v>1591</v>
      </c>
      <c r="K398" s="6" t="s">
        <v>1592</v>
      </c>
      <c r="L398" s="6" t="s">
        <v>1373</v>
      </c>
      <c r="M398" s="16" t="s">
        <v>218</v>
      </c>
      <c r="N398" s="6" t="s">
        <v>1593</v>
      </c>
      <c r="O398" s="17"/>
    </row>
    <row r="399" s="6" customFormat="1" customHeight="1" spans="1:15">
      <c r="A399" s="6" t="s">
        <v>1595</v>
      </c>
      <c r="B399" s="6" t="s">
        <v>1595</v>
      </c>
      <c r="C399" s="6" t="s">
        <v>1595</v>
      </c>
      <c r="D399" s="6" t="s">
        <v>1595</v>
      </c>
      <c r="E399" s="6" t="s">
        <v>300</v>
      </c>
      <c r="F399" s="57" t="s">
        <v>214</v>
      </c>
      <c r="H399" s="6" t="s">
        <v>1596</v>
      </c>
      <c r="K399" s="6" t="s">
        <v>1597</v>
      </c>
      <c r="L399" s="6" t="s">
        <v>268</v>
      </c>
      <c r="M399" s="16" t="s">
        <v>218</v>
      </c>
      <c r="N399" s="6" t="s">
        <v>1288</v>
      </c>
      <c r="O399" s="17"/>
    </row>
    <row r="400" s="6" customFormat="1" customHeight="1" spans="1:15">
      <c r="A400" s="6" t="s">
        <v>1598</v>
      </c>
      <c r="B400" s="6" t="s">
        <v>1598</v>
      </c>
      <c r="C400" s="6" t="s">
        <v>1598</v>
      </c>
      <c r="D400" s="6" t="s">
        <v>1598</v>
      </c>
      <c r="E400" s="6" t="s">
        <v>300</v>
      </c>
      <c r="F400" s="57" t="s">
        <v>214</v>
      </c>
      <c r="H400" s="6" t="s">
        <v>1599</v>
      </c>
      <c r="K400" s="6" t="s">
        <v>486</v>
      </c>
      <c r="L400" s="6" t="s">
        <v>228</v>
      </c>
      <c r="M400" s="16" t="s">
        <v>218</v>
      </c>
      <c r="N400" s="6" t="s">
        <v>487</v>
      </c>
      <c r="O400" s="17"/>
    </row>
    <row r="401" s="3" customFormat="1" customHeight="1" spans="1:15">
      <c r="A401" s="11" t="s">
        <v>1600</v>
      </c>
      <c r="B401" s="11" t="s">
        <v>1600</v>
      </c>
      <c r="C401" s="11" t="s">
        <v>1600</v>
      </c>
      <c r="D401" s="11" t="s">
        <v>1600</v>
      </c>
      <c r="E401" s="11" t="s">
        <v>300</v>
      </c>
      <c r="F401" s="58" t="s">
        <v>214</v>
      </c>
      <c r="H401" s="11" t="s">
        <v>1601</v>
      </c>
      <c r="K401" s="11" t="s">
        <v>1602</v>
      </c>
      <c r="L401" s="11" t="s">
        <v>447</v>
      </c>
      <c r="M401" s="16" t="s">
        <v>218</v>
      </c>
      <c r="N401" s="11" t="s">
        <v>1603</v>
      </c>
      <c r="O401" s="7"/>
    </row>
    <row r="402" s="3" customFormat="1" customHeight="1" spans="1:15">
      <c r="A402" s="11" t="s">
        <v>1604</v>
      </c>
      <c r="B402" s="11" t="s">
        <v>1604</v>
      </c>
      <c r="C402" s="11" t="s">
        <v>1604</v>
      </c>
      <c r="D402" s="11" t="s">
        <v>1604</v>
      </c>
      <c r="E402" s="11" t="s">
        <v>300</v>
      </c>
      <c r="F402" s="58" t="s">
        <v>214</v>
      </c>
      <c r="H402" s="11" t="s">
        <v>1605</v>
      </c>
      <c r="K402" s="11" t="s">
        <v>1606</v>
      </c>
      <c r="L402" s="11" t="s">
        <v>253</v>
      </c>
      <c r="M402" s="16" t="s">
        <v>218</v>
      </c>
      <c r="N402" s="11" t="s">
        <v>1607</v>
      </c>
      <c r="O402" s="7"/>
    </row>
    <row r="403" s="3" customFormat="1" customHeight="1" spans="1:15">
      <c r="A403" s="11" t="s">
        <v>1608</v>
      </c>
      <c r="B403" s="11" t="s">
        <v>1608</v>
      </c>
      <c r="C403" s="11" t="s">
        <v>1608</v>
      </c>
      <c r="D403" s="11" t="s">
        <v>1608</v>
      </c>
      <c r="E403" s="11" t="s">
        <v>300</v>
      </c>
      <c r="F403" s="58" t="s">
        <v>214</v>
      </c>
      <c r="H403" s="11" t="s">
        <v>1609</v>
      </c>
      <c r="K403" s="11" t="s">
        <v>1452</v>
      </c>
      <c r="L403" s="11" t="s">
        <v>217</v>
      </c>
      <c r="M403" s="16" t="s">
        <v>218</v>
      </c>
      <c r="N403" s="11">
        <v>92335</v>
      </c>
      <c r="O403" s="7"/>
    </row>
    <row r="404" s="3" customFormat="1" customHeight="1" spans="1:15">
      <c r="A404" s="11" t="s">
        <v>1610</v>
      </c>
      <c r="B404" s="11" t="s">
        <v>1610</v>
      </c>
      <c r="C404" s="11" t="s">
        <v>1610</v>
      </c>
      <c r="D404" s="11" t="s">
        <v>1610</v>
      </c>
      <c r="E404" s="11" t="s">
        <v>300</v>
      </c>
      <c r="F404" s="58" t="s">
        <v>214</v>
      </c>
      <c r="H404" s="11" t="s">
        <v>1611</v>
      </c>
      <c r="K404" s="11" t="s">
        <v>1612</v>
      </c>
      <c r="L404" s="11" t="s">
        <v>217</v>
      </c>
      <c r="M404" s="16" t="s">
        <v>218</v>
      </c>
      <c r="N404" s="11">
        <v>92551</v>
      </c>
      <c r="O404" s="7"/>
    </row>
    <row r="405" s="3" customFormat="1" customHeight="1" spans="1:15">
      <c r="A405" s="3" t="s">
        <v>1613</v>
      </c>
      <c r="B405" s="3" t="s">
        <v>1613</v>
      </c>
      <c r="C405" s="3" t="s">
        <v>1613</v>
      </c>
      <c r="D405" s="3" t="s">
        <v>1613</v>
      </c>
      <c r="E405" s="11" t="s">
        <v>300</v>
      </c>
      <c r="F405" s="58" t="s">
        <v>214</v>
      </c>
      <c r="H405" s="3" t="s">
        <v>1614</v>
      </c>
      <c r="K405" s="3" t="s">
        <v>867</v>
      </c>
      <c r="L405" s="3" t="s">
        <v>224</v>
      </c>
      <c r="M405" s="16" t="s">
        <v>218</v>
      </c>
      <c r="N405" s="3" t="s">
        <v>1615</v>
      </c>
      <c r="O405" s="7"/>
    </row>
    <row r="406" s="3" customFormat="1" customHeight="1" spans="1:15">
      <c r="A406" s="3" t="s">
        <v>1616</v>
      </c>
      <c r="B406" s="3" t="s">
        <v>1616</v>
      </c>
      <c r="C406" s="3" t="s">
        <v>1616</v>
      </c>
      <c r="D406" s="3" t="s">
        <v>1616</v>
      </c>
      <c r="E406" s="11" t="s">
        <v>300</v>
      </c>
      <c r="F406" s="58" t="s">
        <v>214</v>
      </c>
      <c r="H406" s="3" t="s">
        <v>1617</v>
      </c>
      <c r="K406" s="3" t="s">
        <v>1618</v>
      </c>
      <c r="L406" s="3" t="s">
        <v>414</v>
      </c>
      <c r="M406" s="16" t="s">
        <v>218</v>
      </c>
      <c r="N406" s="3" t="s">
        <v>1619</v>
      </c>
      <c r="O406" s="7"/>
    </row>
    <row r="407" s="3" customFormat="1" customHeight="1" spans="1:15">
      <c r="A407" s="3" t="s">
        <v>1620</v>
      </c>
      <c r="B407" s="3" t="s">
        <v>1620</v>
      </c>
      <c r="C407" s="3" t="s">
        <v>1620</v>
      </c>
      <c r="D407" s="3" t="s">
        <v>1620</v>
      </c>
      <c r="E407" s="11" t="s">
        <v>300</v>
      </c>
      <c r="F407" s="58" t="s">
        <v>214</v>
      </c>
      <c r="H407" s="3" t="s">
        <v>1621</v>
      </c>
      <c r="K407" s="3" t="s">
        <v>381</v>
      </c>
      <c r="L407" s="3" t="s">
        <v>382</v>
      </c>
      <c r="M407" s="16" t="s">
        <v>218</v>
      </c>
      <c r="N407" s="3" t="s">
        <v>1622</v>
      </c>
      <c r="O407" s="7"/>
    </row>
    <row r="408" s="3" customFormat="1" customHeight="1" spans="1:15">
      <c r="A408" s="3" t="s">
        <v>1623</v>
      </c>
      <c r="B408" s="3" t="s">
        <v>1623</v>
      </c>
      <c r="C408" s="3" t="s">
        <v>1623</v>
      </c>
      <c r="D408" s="3" t="s">
        <v>1623</v>
      </c>
      <c r="E408" s="11" t="s">
        <v>300</v>
      </c>
      <c r="F408" s="58" t="s">
        <v>214</v>
      </c>
      <c r="H408" s="3" t="s">
        <v>1624</v>
      </c>
      <c r="K408" s="3" t="s">
        <v>1625</v>
      </c>
      <c r="L408" s="3" t="s">
        <v>386</v>
      </c>
      <c r="M408" s="16" t="s">
        <v>218</v>
      </c>
      <c r="N408" s="3">
        <v>37122</v>
      </c>
      <c r="O408" s="7"/>
    </row>
    <row r="409" s="3" customFormat="1" customHeight="1" spans="1:15">
      <c r="A409" s="3" t="s">
        <v>1626</v>
      </c>
      <c r="B409" s="3" t="s">
        <v>1626</v>
      </c>
      <c r="C409" s="3" t="s">
        <v>1626</v>
      </c>
      <c r="D409" s="3" t="s">
        <v>1626</v>
      </c>
      <c r="E409" s="11" t="s">
        <v>300</v>
      </c>
      <c r="F409" s="58" t="s">
        <v>214</v>
      </c>
      <c r="H409" s="3" t="s">
        <v>1627</v>
      </c>
      <c r="K409" s="3" t="s">
        <v>1628</v>
      </c>
      <c r="L409" s="3" t="s">
        <v>386</v>
      </c>
      <c r="M409" s="16" t="s">
        <v>218</v>
      </c>
      <c r="N409" s="3">
        <v>37090</v>
      </c>
      <c r="O409" s="7"/>
    </row>
    <row r="410" s="3" customFormat="1" customHeight="1" spans="1:15">
      <c r="A410" s="3" t="s">
        <v>1629</v>
      </c>
      <c r="B410" s="3" t="s">
        <v>1629</v>
      </c>
      <c r="C410" s="3" t="s">
        <v>1629</v>
      </c>
      <c r="D410" s="3" t="s">
        <v>1629</v>
      </c>
      <c r="E410" s="11" t="s">
        <v>300</v>
      </c>
      <c r="F410" s="58" t="s">
        <v>214</v>
      </c>
      <c r="H410" s="3" t="s">
        <v>1630</v>
      </c>
      <c r="K410" s="3" t="s">
        <v>223</v>
      </c>
      <c r="L410" s="3" t="s">
        <v>224</v>
      </c>
      <c r="M410" s="16" t="s">
        <v>218</v>
      </c>
      <c r="N410" s="3">
        <v>85340</v>
      </c>
      <c r="O410" s="7"/>
    </row>
    <row r="411" s="3" customFormat="1" customHeight="1" spans="1:15">
      <c r="A411" s="3" t="s">
        <v>1631</v>
      </c>
      <c r="B411" s="3" t="s">
        <v>1631</v>
      </c>
      <c r="C411" s="3" t="s">
        <v>1631</v>
      </c>
      <c r="D411" s="3" t="s">
        <v>1631</v>
      </c>
      <c r="E411" s="11" t="s">
        <v>300</v>
      </c>
      <c r="F411" s="58" t="s">
        <v>214</v>
      </c>
      <c r="H411" s="3" t="s">
        <v>1632</v>
      </c>
      <c r="K411" s="3" t="s">
        <v>1633</v>
      </c>
      <c r="L411" s="3" t="s">
        <v>287</v>
      </c>
      <c r="M411" s="16" t="s">
        <v>218</v>
      </c>
      <c r="N411" s="3" t="s">
        <v>1634</v>
      </c>
      <c r="O411" s="7"/>
    </row>
    <row r="412" s="3" customFormat="1" customHeight="1" spans="1:15">
      <c r="O412" s="7"/>
    </row>
    <row r="413" s="3" customFormat="1" customHeight="1" spans="1:15">
      <c r="O413" s="7"/>
    </row>
    <row r="414" s="3" customFormat="1" customHeight="1" spans="1:15">
      <c r="O414" s="7"/>
    </row>
    <row r="415" s="3" customFormat="1" customHeight="1" spans="1:15">
      <c r="O415" s="7"/>
    </row>
    <row r="416" s="3" customFormat="1" customHeight="1" spans="1:15">
      <c r="O416" s="7"/>
    </row>
    <row r="417" s="3" customFormat="1" customHeight="1" spans="1:15">
      <c r="O417" s="7"/>
    </row>
    <row r="418" s="3" customFormat="1" customHeight="1" spans="1:15">
      <c r="O418" s="7"/>
    </row>
    <row r="419" s="3" customFormat="1" customHeight="1" spans="1:15">
      <c r="O419" s="7"/>
    </row>
    <row r="420" s="3" customFormat="1" customHeight="1" spans="1:15">
      <c r="O420" s="7"/>
    </row>
    <row r="421" s="3" customFormat="1" customHeight="1" spans="1:15">
      <c r="O421" s="7"/>
    </row>
    <row r="422" s="3" customFormat="1" customHeight="1" spans="1:15">
      <c r="O422" s="7"/>
    </row>
    <row r="423" s="3" customFormat="1" customHeight="1" spans="1:15">
      <c r="O423" s="7"/>
    </row>
    <row r="424" s="3" customFormat="1" customHeight="1" spans="1:15">
      <c r="O424" s="7"/>
    </row>
    <row r="425" s="3" customFormat="1" customHeight="1" spans="1:15">
      <c r="A425" s="18"/>
      <c r="E425" s="18"/>
      <c r="H425" s="19"/>
      <c r="K425" s="19"/>
      <c r="L425" s="19"/>
      <c r="O425" s="7"/>
    </row>
    <row r="426" s="3" customFormat="1" customHeight="1" spans="1:15">
      <c r="A426" s="18"/>
      <c r="E426" s="18"/>
      <c r="H426" s="18"/>
      <c r="K426" s="18"/>
      <c r="L426" s="18"/>
      <c r="O426" s="7"/>
    </row>
    <row r="427" s="3" customFormat="1" customHeight="1" spans="1:15">
      <c r="A427" s="20"/>
      <c r="E427" s="20"/>
      <c r="H427" s="21"/>
      <c r="K427" s="21"/>
      <c r="L427" s="21"/>
      <c r="O427" s="7"/>
    </row>
  </sheetData>
  <autoFilter xmlns:etc="http://www.wps.cn/officeDocument/2017/etCustomData" ref="A1:O26" etc:filterBottomFollowUsedRange="0">
    <extLst/>
  </autoFilter>
  <conditionalFormatting sqref="A33">
    <cfRule type="duplicateValues" dxfId="0" priority="9"/>
  </conditionalFormatting>
  <conditionalFormatting sqref="A36">
    <cfRule type="duplicateValues" dxfId="0" priority="19"/>
  </conditionalFormatting>
  <conditionalFormatting sqref="A40">
    <cfRule type="duplicateValues" dxfId="0" priority="24"/>
  </conditionalFormatting>
  <conditionalFormatting sqref="A44">
    <cfRule type="duplicateValues" dxfId="0" priority="26"/>
  </conditionalFormatting>
  <conditionalFormatting sqref="A46">
    <cfRule type="duplicateValues" dxfId="0" priority="28"/>
  </conditionalFormatting>
  <conditionalFormatting sqref="A47">
    <cfRule type="duplicateValues" dxfId="0" priority="30"/>
  </conditionalFormatting>
  <conditionalFormatting sqref="A48">
    <cfRule type="duplicateValues" dxfId="0" priority="32"/>
  </conditionalFormatting>
  <conditionalFormatting sqref="A49">
    <cfRule type="duplicateValues" dxfId="0" priority="34"/>
  </conditionalFormatting>
  <conditionalFormatting sqref="A53">
    <cfRule type="duplicateValues" dxfId="0" priority="38"/>
  </conditionalFormatting>
  <conditionalFormatting sqref="A60">
    <cfRule type="duplicateValues" dxfId="0" priority="44"/>
  </conditionalFormatting>
  <conditionalFormatting sqref="A62">
    <cfRule type="duplicateValues" dxfId="0" priority="45"/>
  </conditionalFormatting>
  <conditionalFormatting sqref="A63">
    <cfRule type="duplicateValues" dxfId="0" priority="47"/>
  </conditionalFormatting>
  <conditionalFormatting sqref="A64">
    <cfRule type="duplicateValues" dxfId="0" priority="48"/>
  </conditionalFormatting>
  <conditionalFormatting sqref="A65">
    <cfRule type="duplicateValues" dxfId="0" priority="49"/>
  </conditionalFormatting>
  <conditionalFormatting sqref="A84">
    <cfRule type="duplicateValues" dxfId="0" priority="4"/>
  </conditionalFormatting>
  <conditionalFormatting sqref="A171">
    <cfRule type="duplicateValues" dxfId="0" priority="11"/>
  </conditionalFormatting>
  <conditionalFormatting sqref="A2:A21">
    <cfRule type="duplicateValues" dxfId="0" priority="36"/>
  </conditionalFormatting>
  <conditionalFormatting sqref="A54:A55">
    <cfRule type="duplicateValues" dxfId="0" priority="39"/>
  </conditionalFormatting>
  <conditionalFormatting sqref="A56:A57">
    <cfRule type="duplicateValues" dxfId="0" priority="41"/>
  </conditionalFormatting>
  <conditionalFormatting sqref="A22:A23 A25:A32 A34:A35 A37:A38">
    <cfRule type="duplicateValues" dxfId="0" priority="22"/>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20"/>
  <sheetViews>
    <sheetView workbookViewId="0">
      <selection activeCell="A1" sqref="A1:A20"/>
    </sheetView>
  </sheetViews>
  <sheetFormatPr defaultColWidth="11.8666666666667" defaultRowHeight="14.25"/>
  <cols>
    <col min="1" max="1" width="22.2857142857143" customWidth="1"/>
  </cols>
  <sheetData>
    <row r="1" spans="1:1">
      <c r="A1" t="s">
        <v>1635</v>
      </c>
    </row>
    <row r="2" spans="1:1">
      <c r="A2" t="s">
        <v>1636</v>
      </c>
    </row>
    <row r="3" spans="1:1">
      <c r="A3" t="s">
        <v>1637</v>
      </c>
    </row>
    <row r="4" spans="1:1">
      <c r="A4" t="s">
        <v>1638</v>
      </c>
    </row>
    <row r="5" spans="1:1">
      <c r="A5" t="s">
        <v>1639</v>
      </c>
    </row>
    <row r="6" spans="1:1">
      <c r="A6" t="s">
        <v>27</v>
      </c>
    </row>
    <row r="7" spans="1:1">
      <c r="A7" t="s">
        <v>1640</v>
      </c>
    </row>
    <row r="8" spans="1:1">
      <c r="A8" t="s">
        <v>1641</v>
      </c>
    </row>
    <row r="9" spans="1:1">
      <c r="A9" t="s">
        <v>1642</v>
      </c>
    </row>
    <row r="10" spans="1:1">
      <c r="A10" t="s">
        <v>1643</v>
      </c>
    </row>
    <row r="11" spans="1:1">
      <c r="A11" t="s">
        <v>1644</v>
      </c>
    </row>
    <row r="12" spans="1:1">
      <c r="A12" t="s">
        <v>1645</v>
      </c>
    </row>
    <row r="13" spans="1:1">
      <c r="A13" t="s">
        <v>1646</v>
      </c>
    </row>
    <row r="14" spans="1:1">
      <c r="A14" t="s">
        <v>1647</v>
      </c>
    </row>
    <row r="15" spans="1:1">
      <c r="A15" t="s">
        <v>1648</v>
      </c>
    </row>
    <row r="16" spans="1:1">
      <c r="A16" t="s">
        <v>1649</v>
      </c>
    </row>
    <row r="17" spans="1:1">
      <c r="A17" t="s">
        <v>1650</v>
      </c>
    </row>
    <row r="18" spans="1:1">
      <c r="A18" s="1" t="s">
        <v>1651</v>
      </c>
    </row>
    <row r="19" spans="1:1">
      <c r="A19" s="1" t="s">
        <v>1652</v>
      </c>
    </row>
    <row r="20" spans="1:1">
      <c r="A20" t="s">
        <v>1653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1"/>
  <sheetViews>
    <sheetView topLeftCell="A85" workbookViewId="0">
      <selection activeCell="A119" sqref="A119"/>
    </sheetView>
  </sheetViews>
  <sheetFormatPr defaultColWidth="9.14285714285714" defaultRowHeight="14.25" outlineLevelCol="1"/>
  <cols>
    <col min="1" max="1" width="33.8571428571429" customWidth="1"/>
    <col min="2" max="2" width="34.2857142857143" customWidth="1"/>
  </cols>
  <sheetData>
    <row r="1" spans="1:2">
      <c r="A1" t="s">
        <v>1654</v>
      </c>
      <c r="B1" t="s">
        <v>1655</v>
      </c>
    </row>
    <row r="2" spans="1:2">
      <c r="A2" s="2" t="s">
        <v>63</v>
      </c>
      <c r="B2" t="s">
        <v>1656</v>
      </c>
    </row>
    <row r="3" spans="1:2">
      <c r="A3" s="2" t="s">
        <v>76</v>
      </c>
      <c r="B3" t="s">
        <v>1656</v>
      </c>
    </row>
    <row r="4" spans="1:2">
      <c r="A4" s="2" t="s">
        <v>72</v>
      </c>
      <c r="B4" t="s">
        <v>1656</v>
      </c>
    </row>
    <row r="5" spans="1:2">
      <c r="A5" s="2" t="s">
        <v>57</v>
      </c>
      <c r="B5" t="s">
        <v>1656</v>
      </c>
    </row>
    <row r="6" spans="1:2">
      <c r="A6" s="2" t="s">
        <v>70</v>
      </c>
      <c r="B6" t="s">
        <v>1656</v>
      </c>
    </row>
    <row r="7" spans="1:2">
      <c r="A7" s="2" t="s">
        <v>131</v>
      </c>
      <c r="B7" t="s">
        <v>1656</v>
      </c>
    </row>
    <row r="8" spans="1:2">
      <c r="A8" s="2" t="s">
        <v>139</v>
      </c>
      <c r="B8" t="s">
        <v>1656</v>
      </c>
    </row>
    <row r="9" spans="1:2">
      <c r="A9" s="2" t="s">
        <v>133</v>
      </c>
      <c r="B9" t="s">
        <v>1656</v>
      </c>
    </row>
    <row r="10" spans="1:2">
      <c r="A10" s="2" t="s">
        <v>84</v>
      </c>
      <c r="B10" t="s">
        <v>1656</v>
      </c>
    </row>
    <row r="11" spans="1:2">
      <c r="A11" s="2" t="s">
        <v>82</v>
      </c>
      <c r="B11" t="s">
        <v>1656</v>
      </c>
    </row>
    <row r="12" spans="1:2">
      <c r="A12" s="2" t="s">
        <v>58</v>
      </c>
      <c r="B12" t="s">
        <v>1656</v>
      </c>
    </row>
    <row r="13" spans="1:2">
      <c r="A13" s="2" t="s">
        <v>130</v>
      </c>
      <c r="B13" t="s">
        <v>1656</v>
      </c>
    </row>
    <row r="14" spans="1:2">
      <c r="A14" s="2" t="s">
        <v>95</v>
      </c>
      <c r="B14" t="s">
        <v>1656</v>
      </c>
    </row>
    <row r="15" spans="1:2">
      <c r="A15" s="2" t="s">
        <v>97</v>
      </c>
      <c r="B15" t="s">
        <v>1656</v>
      </c>
    </row>
    <row r="16" spans="1:2">
      <c r="A16" s="2" t="s">
        <v>94</v>
      </c>
      <c r="B16" t="s">
        <v>1656</v>
      </c>
    </row>
    <row r="17" spans="1:2">
      <c r="A17" s="2" t="s">
        <v>111</v>
      </c>
      <c r="B17" t="s">
        <v>1656</v>
      </c>
    </row>
    <row r="18" spans="1:2">
      <c r="A18" s="2" t="s">
        <v>113</v>
      </c>
      <c r="B18" t="s">
        <v>1656</v>
      </c>
    </row>
    <row r="19" spans="1:2">
      <c r="A19" s="2" t="s">
        <v>101</v>
      </c>
      <c r="B19" t="s">
        <v>1656</v>
      </c>
    </row>
    <row r="20" spans="1:2">
      <c r="A20" s="2" t="s">
        <v>129</v>
      </c>
      <c r="B20" t="s">
        <v>1656</v>
      </c>
    </row>
    <row r="21" spans="1:2">
      <c r="A21" s="2" t="s">
        <v>115</v>
      </c>
      <c r="B21" t="s">
        <v>1656</v>
      </c>
    </row>
    <row r="22" spans="1:2">
      <c r="A22" s="2" t="s">
        <v>86</v>
      </c>
      <c r="B22" t="s">
        <v>1656</v>
      </c>
    </row>
    <row r="23" spans="1:2">
      <c r="A23" s="2" t="s">
        <v>80</v>
      </c>
      <c r="B23" t="s">
        <v>1656</v>
      </c>
    </row>
    <row r="24" spans="1:2">
      <c r="A24" s="2" t="s">
        <v>99</v>
      </c>
      <c r="B24" t="s">
        <v>1656</v>
      </c>
    </row>
    <row r="25" spans="1:2">
      <c r="A25" s="2" t="s">
        <v>98</v>
      </c>
      <c r="B25" t="s">
        <v>1656</v>
      </c>
    </row>
    <row r="26" spans="1:2">
      <c r="A26" s="2" t="s">
        <v>119</v>
      </c>
      <c r="B26" t="s">
        <v>1656</v>
      </c>
    </row>
    <row r="27" spans="1:2">
      <c r="A27" s="2" t="s">
        <v>197</v>
      </c>
      <c r="B27" t="s">
        <v>1656</v>
      </c>
    </row>
    <row r="28" spans="1:2">
      <c r="A28" s="2" t="s">
        <v>74</v>
      </c>
      <c r="B28" t="s">
        <v>1656</v>
      </c>
    </row>
    <row r="29" spans="1:2">
      <c r="A29" s="2" t="s">
        <v>107</v>
      </c>
      <c r="B29" t="s">
        <v>1656</v>
      </c>
    </row>
    <row r="30" spans="1:2">
      <c r="A30" s="2" t="s">
        <v>105</v>
      </c>
      <c r="B30" t="s">
        <v>1656</v>
      </c>
    </row>
    <row r="31" spans="1:2">
      <c r="A31" s="2" t="s">
        <v>132</v>
      </c>
      <c r="B31" t="s">
        <v>1656</v>
      </c>
    </row>
    <row r="32" spans="1:2">
      <c r="A32" s="2" t="s">
        <v>117</v>
      </c>
      <c r="B32" t="s">
        <v>1656</v>
      </c>
    </row>
    <row r="33" spans="1:2">
      <c r="A33" s="2" t="s">
        <v>93</v>
      </c>
      <c r="B33" t="s">
        <v>1656</v>
      </c>
    </row>
    <row r="34" spans="1:2">
      <c r="A34" s="2" t="s">
        <v>92</v>
      </c>
      <c r="B34" t="s">
        <v>1656</v>
      </c>
    </row>
    <row r="35" spans="1:2">
      <c r="A35" s="2" t="s">
        <v>103</v>
      </c>
      <c r="B35" t="s">
        <v>1656</v>
      </c>
    </row>
    <row r="36" spans="1:2">
      <c r="A36" s="2" t="s">
        <v>59</v>
      </c>
      <c r="B36" t="s">
        <v>1656</v>
      </c>
    </row>
    <row r="37" spans="1:2">
      <c r="A37" s="2" t="s">
        <v>60</v>
      </c>
      <c r="B37" t="s">
        <v>1656</v>
      </c>
    </row>
    <row r="38" spans="1:2">
      <c r="A38" s="2" t="s">
        <v>64</v>
      </c>
      <c r="B38" t="s">
        <v>1656</v>
      </c>
    </row>
    <row r="39" spans="1:2">
      <c r="A39" s="2" t="s">
        <v>1657</v>
      </c>
      <c r="B39" t="s">
        <v>1656</v>
      </c>
    </row>
    <row r="40" spans="1:2">
      <c r="A40" s="2" t="s">
        <v>1658</v>
      </c>
      <c r="B40" t="s">
        <v>1656</v>
      </c>
    </row>
    <row r="41" spans="1:2">
      <c r="A41" s="2" t="s">
        <v>88</v>
      </c>
      <c r="B41" t="s">
        <v>1656</v>
      </c>
    </row>
    <row r="42" spans="1:2">
      <c r="A42" s="2" t="s">
        <v>65</v>
      </c>
      <c r="B42" t="s">
        <v>1656</v>
      </c>
    </row>
    <row r="43" spans="1:2">
      <c r="A43" s="2" t="s">
        <v>71</v>
      </c>
      <c r="B43" t="s">
        <v>1656</v>
      </c>
    </row>
    <row r="44" spans="1:2">
      <c r="A44" s="2" t="s">
        <v>73</v>
      </c>
      <c r="B44" t="s">
        <v>1656</v>
      </c>
    </row>
    <row r="45" spans="1:2">
      <c r="A45" s="2" t="s">
        <v>75</v>
      </c>
      <c r="B45" t="s">
        <v>1656</v>
      </c>
    </row>
    <row r="46" spans="1:2">
      <c r="A46" s="2" t="s">
        <v>77</v>
      </c>
      <c r="B46" t="s">
        <v>1656</v>
      </c>
    </row>
    <row r="47" spans="1:2">
      <c r="A47" s="2" t="s">
        <v>81</v>
      </c>
      <c r="B47" t="s">
        <v>1656</v>
      </c>
    </row>
    <row r="48" spans="1:2">
      <c r="A48" s="2" t="s">
        <v>83</v>
      </c>
      <c r="B48" t="s">
        <v>1656</v>
      </c>
    </row>
    <row r="49" spans="1:2">
      <c r="A49" s="2" t="s">
        <v>85</v>
      </c>
      <c r="B49" t="s">
        <v>1656</v>
      </c>
    </row>
    <row r="50" spans="1:2">
      <c r="A50" s="2" t="s">
        <v>87</v>
      </c>
      <c r="B50" t="s">
        <v>1656</v>
      </c>
    </row>
    <row r="51" spans="1:2">
      <c r="A51" s="2" t="s">
        <v>102</v>
      </c>
      <c r="B51" t="s">
        <v>1656</v>
      </c>
    </row>
    <row r="52" spans="1:2">
      <c r="A52" s="2" t="s">
        <v>106</v>
      </c>
      <c r="B52" t="s">
        <v>1656</v>
      </c>
    </row>
    <row r="53" spans="1:2">
      <c r="A53" s="2" t="s">
        <v>108</v>
      </c>
      <c r="B53" t="s">
        <v>1656</v>
      </c>
    </row>
    <row r="54" spans="1:2">
      <c r="A54" s="2" t="s">
        <v>112</v>
      </c>
      <c r="B54" t="s">
        <v>1656</v>
      </c>
    </row>
    <row r="55" spans="1:2">
      <c r="A55" s="2" t="s">
        <v>114</v>
      </c>
      <c r="B55" t="s">
        <v>1656</v>
      </c>
    </row>
    <row r="56" spans="1:2">
      <c r="A56" s="2" t="s">
        <v>116</v>
      </c>
      <c r="B56" t="s">
        <v>1656</v>
      </c>
    </row>
    <row r="57" spans="1:2">
      <c r="A57" s="2" t="s">
        <v>118</v>
      </c>
      <c r="B57" t="s">
        <v>1656</v>
      </c>
    </row>
    <row r="58" spans="1:2">
      <c r="A58" s="2" t="s">
        <v>120</v>
      </c>
      <c r="B58" t="s">
        <v>1656</v>
      </c>
    </row>
    <row r="59" spans="1:2">
      <c r="A59" s="2" t="s">
        <v>68</v>
      </c>
      <c r="B59" t="s">
        <v>1656</v>
      </c>
    </row>
    <row r="60" spans="1:2">
      <c r="A60" s="2" t="s">
        <v>69</v>
      </c>
      <c r="B60" t="s">
        <v>1656</v>
      </c>
    </row>
    <row r="61" spans="1:2">
      <c r="A61" s="2" t="s">
        <v>96</v>
      </c>
      <c r="B61" t="s">
        <v>1656</v>
      </c>
    </row>
    <row r="62" spans="1:2">
      <c r="A62" s="2" t="s">
        <v>134</v>
      </c>
      <c r="B62" t="s">
        <v>1656</v>
      </c>
    </row>
    <row r="63" spans="1:2">
      <c r="A63" s="2" t="s">
        <v>135</v>
      </c>
      <c r="B63" t="s">
        <v>1656</v>
      </c>
    </row>
    <row r="64" spans="1:2">
      <c r="A64" s="2" t="s">
        <v>180</v>
      </c>
      <c r="B64" t="s">
        <v>1656</v>
      </c>
    </row>
    <row r="65" spans="1:2">
      <c r="A65" s="2" t="s">
        <v>179</v>
      </c>
      <c r="B65" t="s">
        <v>1656</v>
      </c>
    </row>
    <row r="66" spans="1:2">
      <c r="A66" s="2" t="s">
        <v>191</v>
      </c>
      <c r="B66" t="s">
        <v>1656</v>
      </c>
    </row>
    <row r="67" spans="1:2">
      <c r="A67" s="2" t="s">
        <v>192</v>
      </c>
      <c r="B67" t="s">
        <v>1656</v>
      </c>
    </row>
    <row r="68" spans="1:2">
      <c r="A68" s="2" t="s">
        <v>193</v>
      </c>
      <c r="B68" t="s">
        <v>1656</v>
      </c>
    </row>
    <row r="69" spans="1:2">
      <c r="A69" s="2" t="s">
        <v>194</v>
      </c>
      <c r="B69" t="s">
        <v>1656</v>
      </c>
    </row>
    <row r="70" spans="1:2">
      <c r="A70" s="2" t="s">
        <v>195</v>
      </c>
      <c r="B70" t="s">
        <v>1656</v>
      </c>
    </row>
    <row r="71" spans="1:2">
      <c r="A71" s="2" t="s">
        <v>196</v>
      </c>
      <c r="B71" t="s">
        <v>1656</v>
      </c>
    </row>
    <row r="72" spans="1:2">
      <c r="A72" s="2" t="s">
        <v>140</v>
      </c>
      <c r="B72" t="s">
        <v>1659</v>
      </c>
    </row>
    <row r="73" spans="1:2">
      <c r="A73" s="2" t="s">
        <v>141</v>
      </c>
      <c r="B73" t="s">
        <v>1659</v>
      </c>
    </row>
    <row r="74" spans="1:2">
      <c r="A74" s="2" t="s">
        <v>142</v>
      </c>
      <c r="B74" t="s">
        <v>1659</v>
      </c>
    </row>
    <row r="75" spans="1:2">
      <c r="A75" s="2" t="s">
        <v>143</v>
      </c>
      <c r="B75" t="s">
        <v>1659</v>
      </c>
    </row>
    <row r="76" spans="1:2">
      <c r="A76" s="2" t="s">
        <v>144</v>
      </c>
      <c r="B76" t="s">
        <v>1659</v>
      </c>
    </row>
    <row r="77" spans="1:2">
      <c r="A77" s="2" t="s">
        <v>145</v>
      </c>
      <c r="B77" t="s">
        <v>1659</v>
      </c>
    </row>
    <row r="78" spans="1:2">
      <c r="A78" s="2" t="s">
        <v>146</v>
      </c>
      <c r="B78" t="s">
        <v>1659</v>
      </c>
    </row>
    <row r="79" spans="1:2">
      <c r="A79" s="2" t="s">
        <v>147</v>
      </c>
      <c r="B79" t="s">
        <v>1659</v>
      </c>
    </row>
    <row r="80" spans="1:2">
      <c r="A80" s="2" t="s">
        <v>148</v>
      </c>
      <c r="B80" t="s">
        <v>1659</v>
      </c>
    </row>
    <row r="81" spans="1:2">
      <c r="A81" s="2" t="s">
        <v>149</v>
      </c>
      <c r="B81" t="s">
        <v>1659</v>
      </c>
    </row>
    <row r="82" spans="1:2">
      <c r="A82" s="2" t="s">
        <v>150</v>
      </c>
      <c r="B82" t="s">
        <v>1659</v>
      </c>
    </row>
    <row r="83" spans="1:2">
      <c r="A83" s="2" t="s">
        <v>151</v>
      </c>
      <c r="B83" t="s">
        <v>1659</v>
      </c>
    </row>
    <row r="84" spans="1:2">
      <c r="A84" s="2" t="s">
        <v>152</v>
      </c>
      <c r="B84" t="s">
        <v>1659</v>
      </c>
    </row>
    <row r="85" spans="1:2">
      <c r="A85" s="2" t="s">
        <v>153</v>
      </c>
      <c r="B85" t="s">
        <v>1659</v>
      </c>
    </row>
    <row r="86" spans="1:2">
      <c r="A86" s="2" t="s">
        <v>154</v>
      </c>
      <c r="B86" t="s">
        <v>1659</v>
      </c>
    </row>
    <row r="87" spans="1:2">
      <c r="A87" s="2" t="s">
        <v>155</v>
      </c>
      <c r="B87" t="s">
        <v>1659</v>
      </c>
    </row>
    <row r="88" spans="1:2">
      <c r="A88" s="2" t="s">
        <v>156</v>
      </c>
      <c r="B88" t="s">
        <v>1659</v>
      </c>
    </row>
    <row r="89" spans="1:2">
      <c r="A89" s="2" t="s">
        <v>157</v>
      </c>
      <c r="B89" t="s">
        <v>1659</v>
      </c>
    </row>
    <row r="90" spans="1:2">
      <c r="A90" s="2" t="s">
        <v>158</v>
      </c>
      <c r="B90" t="s">
        <v>1659</v>
      </c>
    </row>
    <row r="91" spans="1:2">
      <c r="A91" s="2" t="s">
        <v>159</v>
      </c>
      <c r="B91" t="s">
        <v>1659</v>
      </c>
    </row>
    <row r="92" spans="1:2">
      <c r="A92" s="2" t="s">
        <v>160</v>
      </c>
      <c r="B92" t="s">
        <v>1659</v>
      </c>
    </row>
    <row r="93" spans="1:2">
      <c r="A93" s="2" t="s">
        <v>161</v>
      </c>
      <c r="B93" t="s">
        <v>1659</v>
      </c>
    </row>
    <row r="94" spans="1:2">
      <c r="A94" s="2" t="s">
        <v>162</v>
      </c>
      <c r="B94" t="s">
        <v>1659</v>
      </c>
    </row>
    <row r="95" spans="1:2">
      <c r="A95" s="2" t="s">
        <v>163</v>
      </c>
      <c r="B95" t="s">
        <v>1659</v>
      </c>
    </row>
    <row r="96" spans="1:2">
      <c r="A96" s="2" t="s">
        <v>164</v>
      </c>
      <c r="B96" t="s">
        <v>1659</v>
      </c>
    </row>
    <row r="97" spans="1:2">
      <c r="A97" s="2" t="s">
        <v>165</v>
      </c>
      <c r="B97" t="s">
        <v>1659</v>
      </c>
    </row>
    <row r="98" spans="1:2">
      <c r="A98" s="2" t="s">
        <v>166</v>
      </c>
      <c r="B98" t="s">
        <v>1659</v>
      </c>
    </row>
    <row r="99" spans="1:2">
      <c r="A99" s="2" t="s">
        <v>167</v>
      </c>
      <c r="B99" t="s">
        <v>1659</v>
      </c>
    </row>
    <row r="100" spans="1:2">
      <c r="A100" s="2" t="s">
        <v>168</v>
      </c>
      <c r="B100" t="s">
        <v>1659</v>
      </c>
    </row>
    <row r="101" spans="1:2">
      <c r="A101" s="2" t="s">
        <v>169</v>
      </c>
      <c r="B101" t="s">
        <v>1659</v>
      </c>
    </row>
    <row r="102" spans="1:2">
      <c r="A102" s="2" t="s">
        <v>170</v>
      </c>
      <c r="B102" t="s">
        <v>1659</v>
      </c>
    </row>
    <row r="103" spans="1:2">
      <c r="A103" s="2" t="s">
        <v>171</v>
      </c>
      <c r="B103" t="s">
        <v>1659</v>
      </c>
    </row>
    <row r="104" spans="1:2">
      <c r="A104" s="2" t="s">
        <v>172</v>
      </c>
      <c r="B104" t="s">
        <v>1659</v>
      </c>
    </row>
    <row r="105" spans="1:2">
      <c r="A105" s="2" t="s">
        <v>173</v>
      </c>
      <c r="B105" t="s">
        <v>1659</v>
      </c>
    </row>
    <row r="106" spans="1:2">
      <c r="A106" s="2" t="s">
        <v>174</v>
      </c>
      <c r="B106" t="s">
        <v>1659</v>
      </c>
    </row>
    <row r="107" spans="1:2">
      <c r="A107" s="2" t="s">
        <v>175</v>
      </c>
      <c r="B107" t="s">
        <v>1659</v>
      </c>
    </row>
    <row r="108" spans="1:2">
      <c r="A108" s="2" t="s">
        <v>176</v>
      </c>
      <c r="B108" t="s">
        <v>1659</v>
      </c>
    </row>
    <row r="109" spans="1:2">
      <c r="A109" s="2" t="s">
        <v>177</v>
      </c>
      <c r="B109" t="s">
        <v>1659</v>
      </c>
    </row>
    <row r="110" spans="1:2">
      <c r="A110" s="2" t="s">
        <v>178</v>
      </c>
      <c r="B110" t="s">
        <v>1659</v>
      </c>
    </row>
    <row r="111" spans="1:2">
      <c r="A111" s="2" t="s">
        <v>182</v>
      </c>
      <c r="B111" t="s">
        <v>1659</v>
      </c>
    </row>
    <row r="112" spans="1:2">
      <c r="A112" s="2" t="s">
        <v>183</v>
      </c>
      <c r="B112" t="s">
        <v>1659</v>
      </c>
    </row>
    <row r="113" spans="1:2">
      <c r="A113" s="2" t="s">
        <v>184</v>
      </c>
      <c r="B113" t="s">
        <v>1659</v>
      </c>
    </row>
    <row r="114" spans="1:2">
      <c r="A114" s="2" t="s">
        <v>185</v>
      </c>
      <c r="B114" t="s">
        <v>1659</v>
      </c>
    </row>
    <row r="115" spans="1:2">
      <c r="A115" s="2" t="s">
        <v>186</v>
      </c>
      <c r="B115" t="s">
        <v>1659</v>
      </c>
    </row>
    <row r="116" spans="1:2">
      <c r="A116" s="2" t="s">
        <v>1660</v>
      </c>
      <c r="B116" t="s">
        <v>1659</v>
      </c>
    </row>
    <row r="117" spans="1:2">
      <c r="A117" s="2" t="s">
        <v>188</v>
      </c>
      <c r="B117" t="s">
        <v>1659</v>
      </c>
    </row>
    <row r="118" spans="1:2">
      <c r="A118" s="2" t="s">
        <v>189</v>
      </c>
      <c r="B118" t="s">
        <v>1659</v>
      </c>
    </row>
    <row r="119" spans="1:2">
      <c r="A119" s="1" t="s">
        <v>122</v>
      </c>
      <c r="B119" t="s">
        <v>1661</v>
      </c>
    </row>
    <row r="120" spans="1:2">
      <c r="A120" s="1" t="s">
        <v>123</v>
      </c>
      <c r="B120" t="s">
        <v>1661</v>
      </c>
    </row>
    <row r="121" spans="1:2">
      <c r="A121" s="1" t="s">
        <v>124</v>
      </c>
      <c r="B121" t="s">
        <v>1661</v>
      </c>
    </row>
    <row r="122" spans="1:2">
      <c r="A122" s="1" t="s">
        <v>125</v>
      </c>
      <c r="B122" t="s">
        <v>1661</v>
      </c>
    </row>
    <row r="123" spans="1:2">
      <c r="A123" t="s">
        <v>181</v>
      </c>
      <c r="B123" t="s">
        <v>1661</v>
      </c>
    </row>
    <row r="124" spans="1:2">
      <c r="A124" s="2"/>
    </row>
    <row r="125" spans="1:2">
      <c r="A125" s="2"/>
    </row>
    <row r="126" spans="1:2">
      <c r="A126" s="2"/>
    </row>
    <row r="127" spans="1:2">
      <c r="A127" s="2"/>
    </row>
    <row r="128" spans="1:2">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B8" sqref="B8"/>
    </sheetView>
  </sheetViews>
  <sheetFormatPr defaultColWidth="9.14285714285714" defaultRowHeight="14.25" outlineLevelCol="2"/>
  <cols>
    <col min="1" max="1" width="22.7142857142857" customWidth="1"/>
    <col min="2" max="2" width="19.5714285714286" customWidth="1"/>
    <col min="3" max="3" width="16.2857142857143" customWidth="1"/>
  </cols>
  <sheetData>
    <row r="1" spans="1:3">
      <c r="A1" t="s">
        <v>1656</v>
      </c>
      <c r="B1" t="s">
        <v>1659</v>
      </c>
      <c r="C1" t="s">
        <v>1661</v>
      </c>
    </row>
    <row r="2" spans="1:3">
      <c r="A2" t="s">
        <v>1636</v>
      </c>
      <c r="B2" t="s">
        <v>27</v>
      </c>
      <c r="C2" t="s">
        <v>1635</v>
      </c>
    </row>
    <row r="3" spans="1:3">
      <c r="A3" t="s">
        <v>1637</v>
      </c>
      <c r="B3" t="s">
        <v>1649</v>
      </c>
      <c r="C3" t="s">
        <v>1636</v>
      </c>
    </row>
    <row r="4" spans="1:3">
      <c r="A4" t="s">
        <v>1638</v>
      </c>
      <c r="B4" t="s">
        <v>1635</v>
      </c>
      <c r="C4" t="s">
        <v>1637</v>
      </c>
    </row>
    <row r="5" spans="1:3">
      <c r="A5" t="s">
        <v>1647</v>
      </c>
      <c r="B5" t="s">
        <v>1641</v>
      </c>
      <c r="C5" t="s">
        <v>1638</v>
      </c>
    </row>
    <row r="6" spans="1:3">
      <c r="A6" t="s">
        <v>1648</v>
      </c>
      <c r="B6" t="s">
        <v>1650</v>
      </c>
      <c r="C6" t="s">
        <v>1639</v>
      </c>
    </row>
    <row r="7" spans="1:3">
      <c r="A7" t="s">
        <v>1644</v>
      </c>
      <c r="B7" t="s">
        <v>1646</v>
      </c>
      <c r="C7" t="s">
        <v>27</v>
      </c>
    </row>
    <row r="8" spans="1:3">
      <c r="A8" t="s">
        <v>1642</v>
      </c>
      <c r="C8" t="s">
        <v>1640</v>
      </c>
    </row>
    <row r="9" spans="1:3">
      <c r="A9" t="s">
        <v>1639</v>
      </c>
      <c r="C9" t="s">
        <v>1641</v>
      </c>
    </row>
    <row r="10" spans="1:3">
      <c r="A10" t="s">
        <v>1640</v>
      </c>
      <c r="C10" t="s">
        <v>1642</v>
      </c>
    </row>
    <row r="11" spans="1:3">
      <c r="A11" t="s">
        <v>1645</v>
      </c>
      <c r="C11" t="s">
        <v>1643</v>
      </c>
    </row>
    <row r="12" spans="1:3">
      <c r="A12" t="s">
        <v>1643</v>
      </c>
      <c r="C12" t="s">
        <v>1644</v>
      </c>
    </row>
    <row r="13" spans="1:3">
      <c r="A13" t="s">
        <v>1652</v>
      </c>
      <c r="C13" t="s">
        <v>1645</v>
      </c>
    </row>
    <row r="14" spans="1:3">
      <c r="A14" t="s">
        <v>1653</v>
      </c>
      <c r="C14" t="s">
        <v>1646</v>
      </c>
    </row>
    <row r="15" spans="1:3">
      <c r="C15" t="s">
        <v>1647</v>
      </c>
    </row>
    <row r="16" spans="1:3">
      <c r="C16" t="s">
        <v>1648</v>
      </c>
    </row>
    <row r="17" spans="3:3">
      <c r="C17" t="s">
        <v>1649</v>
      </c>
    </row>
    <row r="18" spans="3:3">
      <c r="C18" t="s">
        <v>1650</v>
      </c>
    </row>
    <row r="19" spans="3:3">
      <c r="C19" s="1" t="s">
        <v>1651</v>
      </c>
    </row>
    <row r="20" spans="3:3">
      <c r="C20" s="1" t="s">
        <v>1652</v>
      </c>
    </row>
    <row r="21" spans="3:3">
      <c r="C21" t="s">
        <v>1653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模板</vt:lpstr>
      <vt:lpstr>渠道列表</vt:lpstr>
      <vt:lpstr>亚马逊地址库</vt:lpstr>
      <vt:lpstr>站点</vt:lpstr>
      <vt:lpstr>渠道组</vt:lpstr>
      <vt:lpstr>站点池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Etton-Kate</cp:lastModifiedBy>
  <dcterms:created xsi:type="dcterms:W3CDTF">2019-04-25T01:53:00Z</dcterms:created>
  <dcterms:modified xsi:type="dcterms:W3CDTF">2026-10-23T03:41:21Z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73D33A66B3944BF4A557CCF0213F3A5F_13</vt:lpwstr>
  </property>
  <property fmtid="{D5CDD505-2E9C-101B-9397-08002B2CF9AE}" pid="4" name="KSOReadingLayout">
    <vt:bool>true</vt:bool>
  </property>
  <property fmtid="{D5CDD505-2E9C-101B-9397-08002B2CF9AE}" pid="5" name="CalculationRule">
    <vt:i4>0</vt:i4>
  </property>
</Properties>
</file>