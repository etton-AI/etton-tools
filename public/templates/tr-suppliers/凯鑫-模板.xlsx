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G:\桌面\发票模板\"/>
    </mc:Choice>
  </mc:AlternateContent>
  <bookViews>
    <workbookView windowWidth="27945" windowHeight="12375"/>
  </bookViews>
  <sheets>
    <sheet name="发票" sheetId="2" r:id="rId1"/>
    <sheet name="FBA地址库编码表" sheetId="1" r:id="rId2"/>
    <sheet name="服务名称" sheetId="3" r:id="rId3"/>
  </sheets>
  <definedNames>
    <definedName name="_xlnm._FilterDatabase" localSheetId="1" hidden="1">FBA地址库编码表!$A$1:$N$116</definedName>
    <definedName name="_xlnm._FilterDatabase" localSheetId="2" hidden="1">服务名称!$B$1:$B$462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2" name="ID_3C843D09CFED4828A2F54FA4DCCCF73C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471880" y="10284460"/>
          <a:ext cx="744220" cy="956945"/>
        </a:xfrm>
        <a:prstGeom prst="rect">
          <a:avLst/>
        </a:prstGeom>
      </xdr:spPr>
    </xdr:pic>
  </etc:cellImage>
  <etc:cellImage>
    <xdr:pic>
      <xdr:nvPicPr>
        <xdr:cNvPr id="10" name="ID_CEFF81FD84E54E7ABA77B82B543C5AD4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471880" y="9327515"/>
          <a:ext cx="744220" cy="956945"/>
        </a:xfrm>
        <a:prstGeom prst="rect">
          <a:avLst/>
        </a:prstGeom>
      </xdr:spPr>
    </xdr:pic>
  </etc:cellImage>
  <etc:cellImage>
    <xdr:pic>
      <xdr:nvPicPr>
        <xdr:cNvPr id="2" name="ID_DD27C5829E6146099C6391DC3DFCD70A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471880" y="5499735"/>
          <a:ext cx="744220" cy="956945"/>
        </a:xfrm>
        <a:prstGeom prst="rect">
          <a:avLst/>
        </a:prstGeom>
      </xdr:spPr>
    </xdr:pic>
  </etc:cellImage>
  <etc:cellImage>
    <xdr:pic>
      <xdr:nvPicPr>
        <xdr:cNvPr id="8" name="ID_523BFA6E44034968AA5EE55E12B4C852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471880" y="8370570"/>
          <a:ext cx="744220" cy="956945"/>
        </a:xfrm>
        <a:prstGeom prst="rect">
          <a:avLst/>
        </a:prstGeom>
      </xdr:spPr>
    </xdr:pic>
  </etc:cellImage>
  <etc:cellImage>
    <xdr:pic>
      <xdr:nvPicPr>
        <xdr:cNvPr id="6" name="ID_AB50215CF8BA4B4CAEA5F36E1361669B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471880" y="7413625"/>
          <a:ext cx="744220" cy="956945"/>
        </a:xfrm>
        <a:prstGeom prst="rect">
          <a:avLst/>
        </a:prstGeom>
      </xdr:spPr>
    </xdr:pic>
  </etc:cellImage>
  <etc:cellImage>
    <xdr:pic>
      <xdr:nvPicPr>
        <xdr:cNvPr id="4" name="ID_AEF4447118A046A3892C979F4A699D94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471880" y="6456680"/>
          <a:ext cx="744220" cy="956945"/>
        </a:xfrm>
        <a:prstGeom prst="rect">
          <a:avLst/>
        </a:prstGeom>
      </xdr:spPr>
    </xdr:pic>
  </etc:cellImage>
  <etc:cellImage>
    <xdr:pic>
      <xdr:nvPicPr>
        <xdr:cNvPr id="14" name="ID_F65075F31B714366AAD20435C53AEA97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471880" y="11241405"/>
          <a:ext cx="744220" cy="95694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Admin</author>
    <author>admin</author>
    <author>KXKJ</author>
  </authors>
  <commentList>
    <comment ref="B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可以下拉选择对应服务渠道</t>
        </r>
      </text>
    </comment>
    <comment ref="B1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非亚马逊地址必填，亚马逊地址可不填。（FBA可直接打十个0，随意十位）</t>
        </r>
      </text>
    </comment>
    <comment ref="B14" authorId="2">
      <text>
        <r>
          <rPr>
            <b/>
            <sz val="9"/>
            <rFont val="宋体"/>
            <charset val="134"/>
          </rPr>
          <t xml:space="preserve">FBA地址填写FBA号
</t>
        </r>
        <r>
          <rPr>
            <sz val="9"/>
            <rFont val="宋体"/>
            <charset val="134"/>
          </rPr>
          <t>非FBA地址填写客户单号</t>
        </r>
      </text>
    </comment>
    <comment ref="B15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必须如实申报，否则查出罚款1000元
</t>
        </r>
      </text>
    </comment>
    <comment ref="B1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不报关请填 ：买单报关，需出口退税：报关退税</t>
        </r>
      </text>
    </comment>
    <comment ref="B19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0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4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此项空着，不需填写
英国渠道默认申报币种为英镑
欧洲渠道默认申报币种为欧元
美国渠道默认申报币种为美元</t>
        </r>
      </text>
    </comment>
    <comment ref="B26" authorId="2">
      <text>
        <r>
          <rPr>
            <sz val="9"/>
            <rFont val="宋体"/>
            <charset val="134"/>
          </rPr>
          <t xml:space="preserve">
仅填数字，不需填单位</t>
        </r>
      </text>
    </comment>
    <comment ref="A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申报单行不能合并，同箱货物多SKU，需同时申报多行</t>
        </r>
      </text>
    </comment>
    <comment ref="D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申报数量是单箱数量</t>
        </r>
      </text>
    </comment>
    <comment ref="E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申报金额是单个的申报金额
不用单位，仅数字
英国渠道默认申报币种为英镑
欧洲渠道默认申报币种为欧元
美国渠道默认申报币种为美元
</t>
        </r>
      </text>
    </comment>
    <comment ref="F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</t>
        </r>
      </text>
    </comment>
    <comment ref="G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H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I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K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有牌产品必填，包括自主品牌</t>
        </r>
      </text>
    </comment>
    <comment ref="O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不包税必须填写，包税可以填写同类型产品链接，如无链接，需提供500*500的高清产品图片
</t>
        </r>
      </text>
    </comment>
    <comment ref="S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递延渠道ASIN编码必填</t>
        </r>
      </text>
    </comment>
  </commentList>
</comments>
</file>

<file path=xl/sharedStrings.xml><?xml version="1.0" encoding="utf-8"?>
<sst xmlns="http://schemas.openxmlformats.org/spreadsheetml/2006/main" count="6255" uniqueCount="2815">
  <si>
    <t>服务*</t>
  </si>
  <si>
    <t>中英快铁自税递延-卡派</t>
  </si>
  <si>
    <t>必填</t>
  </si>
  <si>
    <r>
      <rPr>
        <sz val="12"/>
        <rFont val="微软雅黑"/>
        <charset val="134"/>
      </rPr>
      <t xml:space="preserve">新模板使用说明：带星标*为必填
  </t>
    </r>
    <r>
      <rPr>
        <sz val="12"/>
        <color rgb="FFFF0000"/>
        <rFont val="微软雅黑"/>
        <charset val="134"/>
      </rPr>
      <t xml:space="preserve">  1、亚马逊地址库编码必填！根据表二地址库编码表选择复制对应地址，表格即可自动填充准确详细地址！（直接复制编码，不需做其他任何改动！！）</t>
    </r>
    <r>
      <rPr>
        <sz val="12"/>
        <rFont val="微软雅黑"/>
        <charset val="134"/>
      </rPr>
      <t xml:space="preserve">
    2、一箱货有多个商品，箱号不要合并，重复即可
    3、申报价值为单件价值，快件总价值=申报价值*数量
    4、表格填写不可以使用公式，不可带单位、符号
    5、</t>
    </r>
    <r>
      <rPr>
        <sz val="12"/>
        <color rgb="FFFF0000"/>
        <rFont val="微软雅黑"/>
        <charset val="134"/>
      </rPr>
      <t>带电、带磁、报关、清关（是否不包税）等请准确勾选，如实申报，避免出错渠道；注意：带电不报罚款1000元！</t>
    </r>
    <r>
      <rPr>
        <sz val="12"/>
        <rFont val="微软雅黑"/>
        <charset val="134"/>
      </rPr>
      <t xml:space="preserve">
    6、如有特别产品或特别注意事项请在”备注“栏填写！（</t>
    </r>
    <r>
      <rPr>
        <sz val="12"/>
        <color rgb="FFFF0000"/>
        <rFont val="微软雅黑"/>
        <charset val="134"/>
      </rPr>
      <t>如交货时间地点/不包税递延/合并报关明细备注等</t>
    </r>
    <r>
      <rPr>
        <sz val="12"/>
        <rFont val="微软雅黑"/>
        <charset val="134"/>
      </rPr>
      <t>）
    7、货箱编号为具体的亚马逊货箱号（如非亚马逊货按货箱上箱唛顺序下来即可)!
    8、</t>
    </r>
    <r>
      <rPr>
        <sz val="12"/>
        <color rgb="FFFF0000"/>
        <rFont val="微软雅黑"/>
        <charset val="134"/>
      </rPr>
      <t>英国不包税的申报币种默认为英镑，英国递延提供销售链接必须对应英国链接，店铺必须与VAT税号一致</t>
    </r>
    <r>
      <rPr>
        <sz val="12"/>
        <rFont val="微软雅黑"/>
        <charset val="134"/>
      </rPr>
      <t xml:space="preserve">
    9、</t>
    </r>
    <r>
      <rPr>
        <sz val="12"/>
        <color rgb="FFFF0000"/>
        <rFont val="微软雅黑"/>
        <charset val="134"/>
      </rPr>
      <t>中欧递延渠道海关编码必须填写欧盟十位数HS编码，产品ASIN编码必填</t>
    </r>
  </si>
  <si>
    <t>地址库编码*（在编码表复制）</t>
  </si>
  <si>
    <t>BHX4</t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</si>
  <si>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</si>
  <si>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t>收件人公司</t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</si>
  <si>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</si>
  <si>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t>收件人地址二</t>
  </si>
  <si>
    <t>收件人地址三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</si>
  <si>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</si>
  <si>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收件人省份/州</t>
  </si>
  <si>
    <r>
      <rPr>
        <sz val="9"/>
        <color theme="1"/>
        <rFont val="微软雅黑"/>
        <charset val="134"/>
      </rPr>
      <t>收件人邮编</t>
    </r>
    <r>
      <rPr>
        <sz val="9"/>
        <color rgb="FFDD0806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</si>
  <si>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</si>
  <si>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t>收件人电话</t>
  </si>
  <si>
    <t>收件人邮箱</t>
  </si>
  <si>
    <t>客户订单号*</t>
  </si>
  <si>
    <t>TRKJ26100024</t>
  </si>
  <si>
    <r>
      <rPr>
        <sz val="9"/>
        <color rgb="FF000000"/>
        <rFont val="微软雅黑"/>
        <charset val="134"/>
      </rPr>
      <t>带电</t>
    </r>
    <r>
      <rPr>
        <sz val="9"/>
        <color rgb="FFFF0000"/>
        <rFont val="微软雅黑"/>
        <charset val="134"/>
      </rPr>
      <t>*</t>
    </r>
  </si>
  <si>
    <t>是</t>
  </si>
  <si>
    <r>
      <rPr>
        <sz val="9"/>
        <color rgb="FF000000"/>
        <rFont val="微软雅黑"/>
        <charset val="134"/>
      </rPr>
      <t>带磁</t>
    </r>
    <r>
      <rPr>
        <sz val="9"/>
        <color rgb="FFFF0000"/>
        <rFont val="微软雅黑"/>
        <charset val="134"/>
      </rPr>
      <t>*</t>
    </r>
  </si>
  <si>
    <t>否</t>
  </si>
  <si>
    <r>
      <rPr>
        <sz val="9"/>
        <color rgb="FF000000"/>
        <rFont val="微软雅黑"/>
        <charset val="134"/>
      </rPr>
      <t>报关方式</t>
    </r>
    <r>
      <rPr>
        <sz val="9"/>
        <color rgb="FFFF0000"/>
        <rFont val="微软雅黑"/>
        <charset val="134"/>
      </rPr>
      <t>*</t>
    </r>
  </si>
  <si>
    <t>报关退税</t>
  </si>
  <si>
    <r>
      <rPr>
        <sz val="9"/>
        <color rgb="FF000000"/>
        <rFont val="微软雅黑"/>
        <charset val="134"/>
      </rPr>
      <t>交税方式</t>
    </r>
    <r>
      <rPr>
        <sz val="9"/>
        <color rgb="FFFF0000"/>
        <rFont val="微软雅黑"/>
        <charset val="134"/>
      </rPr>
      <t>*</t>
    </r>
  </si>
  <si>
    <t>自税递延</t>
  </si>
  <si>
    <t>不包税、递延渠道必填</t>
  </si>
  <si>
    <r>
      <rPr>
        <sz val="9"/>
        <color rgb="FF000000"/>
        <rFont val="微软雅黑"/>
        <charset val="134"/>
      </rPr>
      <t>VAT号</t>
    </r>
    <r>
      <rPr>
        <sz val="9"/>
        <color rgb="FFFF0000"/>
        <rFont val="微软雅黑"/>
        <charset val="134"/>
      </rPr>
      <t>*</t>
    </r>
  </si>
  <si>
    <t>GB302300970</t>
  </si>
  <si>
    <r>
      <rPr>
        <sz val="9"/>
        <color rgb="FF000000"/>
        <rFont val="微软雅黑"/>
        <charset val="134"/>
      </rPr>
      <t>EORI号</t>
    </r>
    <r>
      <rPr>
        <sz val="9"/>
        <color rgb="FFFF0000"/>
        <rFont val="微软雅黑"/>
        <charset val="134"/>
      </rPr>
      <t>*</t>
    </r>
  </si>
  <si>
    <t>GB302300970000</t>
  </si>
  <si>
    <t>.</t>
  </si>
  <si>
    <r>
      <rPr>
        <sz val="9"/>
        <color rgb="FF000000"/>
        <rFont val="微软雅黑"/>
        <charset val="134"/>
      </rPr>
      <t>VAT注册国家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</si>
  <si>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VAT公司英文名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</si>
  <si>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VAT注册地址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>（国外）</t>
    </r>
  </si>
  <si>
    <t>申报币种</t>
  </si>
  <si>
    <t>备注</t>
  </si>
  <si>
    <r>
      <rPr>
        <sz val="9"/>
        <color rgb="FF000000"/>
        <rFont val="微软雅黑"/>
        <charset val="134"/>
      </rPr>
      <t>箱数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</si>
  <si>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</si>
  <si>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产品英文品名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</si>
  <si>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</si>
  <si>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产品申报数量</t>
    </r>
    <r>
      <rPr>
        <sz val="9"/>
        <color rgb="FFFF0000"/>
        <rFont val="微软雅黑"/>
        <charset val="134"/>
      </rPr>
      <t>*（单箱）</t>
    </r>
  </si>
  <si>
    <r>
      <rPr>
        <sz val="9"/>
        <color rgb="FF000000"/>
        <rFont val="微软雅黑"/>
        <charset val="134"/>
      </rPr>
      <t>产品申报单价（美金）</t>
    </r>
    <r>
      <rPr>
        <sz val="9"/>
        <color rgb="FFDD0806"/>
        <rFont val="微软雅黑"/>
        <charset val="134"/>
      </rPr>
      <t>*
英国不包税（英镑）*</t>
    </r>
  </si>
  <si>
    <r>
      <rPr>
        <sz val="9"/>
        <color rgb="FF000000"/>
        <rFont val="微软雅黑"/>
        <charset val="134"/>
      </rPr>
      <t>货箱重量(KG)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</si>
  <si>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货箱长度(CM)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</si>
  <si>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货箱宽度(CM)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</si>
  <si>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货箱高度(CM)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</si>
  <si>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国内产品海关编码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</si>
  <si>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</si>
  <si>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产品材质</t>
    </r>
    <r>
      <rPr>
        <sz val="9"/>
        <color rgb="FFFF0000"/>
        <rFont val="微软雅黑"/>
        <charset val="134"/>
      </rPr>
      <t>*</t>
    </r>
  </si>
  <si>
    <t>产品型号</t>
  </si>
  <si>
    <r>
      <rPr>
        <sz val="9"/>
        <color indexed="8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</si>
  <si>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产品销售链接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</si>
  <si>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产品图片</t>
    </r>
    <r>
      <rPr>
        <sz val="9"/>
        <color indexed="10"/>
        <rFont val="微软雅黑"/>
        <charset val="134"/>
      </rPr>
      <t>*</t>
    </r>
  </si>
  <si>
    <t>产品SKU*</t>
  </si>
  <si>
    <r>
      <rPr>
        <sz val="9"/>
        <color rgb="FF000000"/>
        <rFont val="微软雅黑"/>
        <charset val="134"/>
      </rPr>
      <t>PO Number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 xml:space="preserve">
（Reference ID）</t>
    </r>
  </si>
  <si>
    <r>
      <rPr>
        <sz val="9"/>
        <color rgb="FF000000"/>
        <rFont val="微软雅黑"/>
        <charset val="134"/>
      </rPr>
      <t>产品ASIN</t>
    </r>
    <r>
      <rPr>
        <sz val="9"/>
        <color rgb="FFFF0000"/>
        <rFont val="微软雅黑"/>
        <charset val="134"/>
      </rPr>
      <t>*</t>
    </r>
  </si>
  <si>
    <t>FBA15MN0Y80NU000001-12</t>
  </si>
  <si>
    <t>INS Style Northern Lights Night Light</t>
  </si>
  <si>
    <t>北极光灯</t>
  </si>
  <si>
    <t>无品牌</t>
  </si>
  <si>
    <t>ABS+PMMA</t>
  </si>
  <si>
    <t>无</t>
  </si>
  <si>
    <t>照明/投影</t>
  </si>
  <si>
    <t>https://www.amazon.co.uk/dp/B0D14XDDHC</t>
  </si>
  <si>
    <t>5U17MJKV</t>
  </si>
  <si>
    <t>FBA15MN0LP5FU000001-15</t>
  </si>
  <si>
    <t>7CWX91VB</t>
  </si>
  <si>
    <t>FBA15MMQ6G5PU000001-2</t>
  </si>
  <si>
    <t>Glacial Northern Lights Projector</t>
  </si>
  <si>
    <t>冰川极光投影灯</t>
  </si>
  <si>
    <t>ABS+PC+PP</t>
  </si>
  <si>
    <t>https://www.amazon.co.uk/dp/B0G1T1SF4T</t>
  </si>
  <si>
    <t>8GB698CE</t>
  </si>
  <si>
    <t>FBA15MMPN7XQU000001-5</t>
  </si>
  <si>
    <t>https://www.amazon.co.uk/dp/B0DZTG5VW9</t>
  </si>
  <si>
    <t>7C3W1BHG</t>
  </si>
  <si>
    <t>FBA15MMPDRR9U000001-5</t>
  </si>
  <si>
    <t>3W5VHSXR</t>
  </si>
  <si>
    <t>FBA15MMPDF6VU000001-7</t>
  </si>
  <si>
    <t>5B48P16F</t>
  </si>
  <si>
    <t>FBA15MM91KHJU000001-8</t>
  </si>
  <si>
    <t>Foldable Desk lamp</t>
  </si>
  <si>
    <t>折叠台灯</t>
  </si>
  <si>
    <t>ABS+PC</t>
  </si>
  <si>
    <t>照明</t>
  </si>
  <si>
    <t>https://www.amazon.co.uk/dp/B0CPYHJBKJ</t>
  </si>
  <si>
    <t>1HVPRBUG</t>
  </si>
  <si>
    <t>地址编码*（复制粘贴到前面表格）</t>
  </si>
  <si>
    <t>地址简称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</si>
  <si>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</si>
  <si>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</si>
  <si>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</si>
  <si>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</si>
  <si>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</si>
  <si>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</si>
  <si>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</si>
  <si>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</si>
  <si>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</si>
  <si>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</si>
  <si>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</si>
  <si>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</si>
  <si>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欧洲</t>
  </si>
  <si>
    <t>CGN1</t>
  </si>
  <si>
    <t>Amazon Koblenz GmbH-CGN1</t>
  </si>
  <si>
    <t>Amazon Koblenz GmbH</t>
  </si>
  <si>
    <t>000000</t>
  </si>
  <si>
    <t>AmazonStr.1</t>
  </si>
  <si>
    <t>Amazon Fulfillment Center</t>
  </si>
  <si>
    <t>Kobern-Gondorf</t>
  </si>
  <si>
    <t>DE</t>
  </si>
  <si>
    <t>56330</t>
  </si>
  <si>
    <t>DUS2</t>
  </si>
  <si>
    <t>Amazon Fulfillment Germany Gmb-DUS2</t>
  </si>
  <si>
    <t>Amazon Fulfillment Germany GmbH</t>
  </si>
  <si>
    <t>AmazonStr. 1</t>
  </si>
  <si>
    <t>Rheinberg</t>
  </si>
  <si>
    <t>47495</t>
  </si>
  <si>
    <t>FRA3</t>
  </si>
  <si>
    <t>Amazon Logistik GmbH-FRA3</t>
  </si>
  <si>
    <t>Amazon Logistik GmbH</t>
  </si>
  <si>
    <t>Bad Hersfeld</t>
  </si>
  <si>
    <t>36251</t>
  </si>
  <si>
    <t>LEJ1</t>
  </si>
  <si>
    <t>Amazon Distribution GmbH-LEJ1</t>
  </si>
  <si>
    <t>Amazon Distribution GmbH</t>
  </si>
  <si>
    <t>AMAZONStr. 1</t>
  </si>
  <si>
    <t>Leipzig</t>
  </si>
  <si>
    <t>04347</t>
  </si>
  <si>
    <t>MUC3</t>
  </si>
  <si>
    <t>Amazon Distribution GmbH-MUC3</t>
  </si>
  <si>
    <t>Zeppelinstrasse 2</t>
  </si>
  <si>
    <t>Graben</t>
  </si>
  <si>
    <t>86836</t>
  </si>
  <si>
    <t>STR1</t>
  </si>
  <si>
    <t>Amazon Pforzheim GmbH-STR1</t>
  </si>
  <si>
    <t>Amazon Pforzheim GmbH</t>
  </si>
  <si>
    <t>Pforzheim</t>
  </si>
  <si>
    <t>75177</t>
  </si>
  <si>
    <t>HAM2</t>
  </si>
  <si>
    <t>Amazon Logistik Winsen GmbH-HAM2</t>
  </si>
  <si>
    <t>Amazon Logistik Winsen GmbH</t>
  </si>
  <si>
    <t>BorgwardStr. 10</t>
  </si>
  <si>
    <t>Winsen an der Luhe</t>
  </si>
  <si>
    <t>21423</t>
  </si>
  <si>
    <t>DTM2</t>
  </si>
  <si>
    <t>KaltbandStr.4</t>
  </si>
  <si>
    <t>Dortmund</t>
  </si>
  <si>
    <t>44145</t>
  </si>
  <si>
    <t>FRA7</t>
  </si>
  <si>
    <t>Amazon Fulfillment Center-FRA7</t>
  </si>
  <si>
    <t>Am Römig 5</t>
  </si>
  <si>
    <t>Frankenthal</t>
  </si>
  <si>
    <t>67227</t>
  </si>
  <si>
    <t>DUS4</t>
  </si>
  <si>
    <t>Amazon Fulfillment Center-DUS4</t>
  </si>
  <si>
    <t>Hamburgring 10</t>
  </si>
  <si>
    <t>Rheindahlen</t>
  </si>
  <si>
    <t>Monchengladbach</t>
  </si>
  <si>
    <t>41179</t>
  </si>
  <si>
    <t>WRO5-02977</t>
  </si>
  <si>
    <t>WRO5</t>
  </si>
  <si>
    <t>Amazon Fulfilment Center</t>
  </si>
  <si>
    <t>WRO5 via: Slam Poland Sp. z o.o.</t>
  </si>
  <si>
    <t>Nardter Weg 2</t>
  </si>
  <si>
    <t>Hoyerswerda</t>
  </si>
  <si>
    <t>Saxony</t>
  </si>
  <si>
    <t>02977</t>
  </si>
  <si>
    <t>PAD1</t>
  </si>
  <si>
    <t>Amazon Fulfillment Center PAD1</t>
  </si>
  <si>
    <t>Aurea 10</t>
  </si>
  <si>
    <t>Oelde</t>
  </si>
  <si>
    <t>59302</t>
  </si>
  <si>
    <t>LEJ2</t>
  </si>
  <si>
    <t>Amazon Distribution GmbH-LEJ2</t>
  </si>
  <si>
    <t>Friedrichshafner Str.72a</t>
  </si>
  <si>
    <t>Imaging Operations</t>
  </si>
  <si>
    <t>LEJ3</t>
  </si>
  <si>
    <t>Amazon Fulfillment Center LEJ3</t>
  </si>
  <si>
    <t>Bielefelder Str. 9</t>
  </si>
  <si>
    <t>Sulzetal</t>
  </si>
  <si>
    <t>39171</t>
  </si>
  <si>
    <t>XFR1</t>
  </si>
  <si>
    <t>Amazon Fulfillment Center XFR1</t>
  </si>
  <si>
    <t>Zum Haarstrauch 9-15</t>
  </si>
  <si>
    <t>Hammersbach</t>
  </si>
  <si>
    <t>63546</t>
  </si>
  <si>
    <t>XDU1</t>
  </si>
  <si>
    <t>Bornwiese 1</t>
  </si>
  <si>
    <t>Malsfeld</t>
  </si>
  <si>
    <t>34323</t>
  </si>
  <si>
    <t>XFR3</t>
  </si>
  <si>
    <t>Amazon Fulfillment Center XFR3</t>
  </si>
  <si>
    <t>Stadtring 265</t>
  </si>
  <si>
    <t>Darmstadt</t>
  </si>
  <si>
    <t>64720</t>
  </si>
  <si>
    <t>BER6</t>
  </si>
  <si>
    <t>Amazon Logistik AF München GmbH</t>
  </si>
  <si>
    <t>Am Borsigturm 100</t>
  </si>
  <si>
    <t>Berlin</t>
  </si>
  <si>
    <t>13507</t>
  </si>
  <si>
    <t>FRA1</t>
  </si>
  <si>
    <t>Amazonstr. 1</t>
  </si>
  <si>
    <t>XSC1</t>
  </si>
  <si>
    <t>Amazon Fulfillment Center-XSC1</t>
  </si>
  <si>
    <t>Hans-Geiger-Strasse 7</t>
  </si>
  <si>
    <t>Kaiserslautern</t>
  </si>
  <si>
    <t>67661</t>
  </si>
  <si>
    <t>XDU2</t>
  </si>
  <si>
    <t>Amazon Fulfillment Center-XDU2</t>
  </si>
  <si>
    <t>Im Lekkerland 2</t>
  </si>
  <si>
    <t>Oberhausen</t>
  </si>
  <si>
    <t>46147</t>
  </si>
  <si>
    <t>XXXY</t>
  </si>
  <si>
    <t>Amazon Fulfillment Center-XXXY</t>
  </si>
  <si>
    <t>Bodenehrstrasse 6</t>
  </si>
  <si>
    <t>Munich</t>
  </si>
  <si>
    <t>81373</t>
  </si>
  <si>
    <t>XHA1</t>
  </si>
  <si>
    <t>Neu Wulmstorf Am Holz 3a</t>
  </si>
  <si>
    <t>Harburg</t>
  </si>
  <si>
    <t>21629</t>
  </si>
  <si>
    <t>XFR2</t>
  </si>
  <si>
    <t>Amazon Fulfillment Center-XFR2</t>
  </si>
  <si>
    <t>Industriegebiet Alsberg</t>
  </si>
  <si>
    <t>Zehnhausen bei Rennerod</t>
  </si>
  <si>
    <t>56477</t>
  </si>
  <si>
    <t>HAJ1</t>
  </si>
  <si>
    <t>Amazon Fulfillment Center HAJ1</t>
  </si>
  <si>
    <t>Zur Alten Molkerei 1</t>
  </si>
  <si>
    <t>Helmstedt</t>
  </si>
  <si>
    <t>38350</t>
  </si>
  <si>
    <t>BER8</t>
  </si>
  <si>
    <t>Amazon Verteilzentrum</t>
  </si>
  <si>
    <t>Am Möllenpfuhl 2</t>
  </si>
  <si>
    <t>Schönefeld</t>
  </si>
  <si>
    <t>12529</t>
  </si>
  <si>
    <t>LEJ5</t>
  </si>
  <si>
    <t>Amazon Fulfillment Center -LEJ5</t>
  </si>
  <si>
    <t>Am Steingarten,2</t>
  </si>
  <si>
    <t>GERA</t>
  </si>
  <si>
    <t>07554</t>
  </si>
  <si>
    <t>MHG9</t>
  </si>
  <si>
    <t>MHG9-Amazon Fulfilment Center</t>
  </si>
  <si>
    <t>Ossenheimer Straße 7</t>
  </si>
  <si>
    <t>Kleinostheim</t>
  </si>
  <si>
    <t>63801</t>
  </si>
  <si>
    <t>SCN2</t>
  </si>
  <si>
    <t>Amazon-SCN2</t>
  </si>
  <si>
    <t>Von-Miller-Straße 24</t>
  </si>
  <si>
    <t>XPO1-04758</t>
  </si>
  <si>
    <t>XPO1-2</t>
  </si>
  <si>
    <t>XPO1</t>
  </si>
  <si>
    <t>XPO1 via: Slam Poland Sp. z o.o.</t>
  </si>
  <si>
    <t>XPO1-Amazon Fulfilment Center</t>
  </si>
  <si>
    <t>Am Zeugamt 6</t>
  </si>
  <si>
    <t>Oschatz</t>
  </si>
  <si>
    <t>04758</t>
  </si>
  <si>
    <t>XWR3-04758</t>
  </si>
  <si>
    <t>XWR3-1</t>
  </si>
  <si>
    <t>XWR3</t>
  </si>
  <si>
    <t>XWR3 via: Slam Poland Sp. z o.o.</t>
  </si>
  <si>
    <t>XWR3-Amazon Fulfilment Center</t>
  </si>
  <si>
    <t>WRO1-04758</t>
  </si>
  <si>
    <t>WRO1-1</t>
  </si>
  <si>
    <t>WRO1</t>
  </si>
  <si>
    <t>WRO1-Amazon Fulfilment Center</t>
  </si>
  <si>
    <t>WRO1 via: Slam Poland Sp. z o.o.</t>
  </si>
  <si>
    <t>XDR1-04758</t>
  </si>
  <si>
    <t>XDR1-1</t>
  </si>
  <si>
    <t>XDR1</t>
  </si>
  <si>
    <t>XDR1 via: Slam Poland Sp. z o.o.</t>
  </si>
  <si>
    <t>XDR1- Amazon Fulfilment Center</t>
  </si>
  <si>
    <t>LCJ2-04758</t>
  </si>
  <si>
    <t>LCJ2-2</t>
  </si>
  <si>
    <t>LCJ2</t>
  </si>
  <si>
    <t>LCJ2 via: Slam Poland Sp. z o.o.</t>
  </si>
  <si>
    <t>XPLC-04758</t>
  </si>
  <si>
    <t>XPLC-1</t>
  </si>
  <si>
    <t>XPLC</t>
  </si>
  <si>
    <t>XPLC- Amazon Fulfilment Center</t>
  </si>
  <si>
    <t>XPLC via: Slam Poland Sp. z o.o.</t>
  </si>
  <si>
    <t>DTM9</t>
  </si>
  <si>
    <t>Amazon Services DTM9/ITM9</t>
  </si>
  <si>
    <t>Brauckstraße 30</t>
  </si>
  <si>
    <t>Witten</t>
  </si>
  <si>
    <t>58454</t>
  </si>
  <si>
    <t>KSF7</t>
  </si>
  <si>
    <t>Amazon KSF7</t>
  </si>
  <si>
    <t>Otto-Hahn-Strasse 3</t>
  </si>
  <si>
    <t>Wolfhagen</t>
  </si>
  <si>
    <t>34466</t>
  </si>
  <si>
    <t>BRE4</t>
  </si>
  <si>
    <t>Amazon Fulfillment Center-BRE4</t>
  </si>
  <si>
    <t>Max-Naumann-Strasse 1</t>
  </si>
  <si>
    <t>Niedersachsen</t>
  </si>
  <si>
    <t>Achim</t>
  </si>
  <si>
    <t>28832</t>
  </si>
  <si>
    <t>EDE5</t>
  </si>
  <si>
    <t>Amazon Logistik Werne GmbH-EDE5</t>
  </si>
  <si>
    <t>Amazon Logistik Werne GmbH</t>
  </si>
  <si>
    <t>Werne Wahrbrink 23</t>
  </si>
  <si>
    <t>Werne</t>
  </si>
  <si>
    <t>59368</t>
  </si>
  <si>
    <t>KTW1</t>
  </si>
  <si>
    <t>c/o Amazon FC KTW1 Stangenallee 400</t>
  </si>
  <si>
    <t>Nohra</t>
  </si>
  <si>
    <t>99428</t>
  </si>
  <si>
    <t>XDEZ</t>
  </si>
  <si>
    <t>Amazon Fulfillment Center-XDEZ</t>
  </si>
  <si>
    <t>XDEA</t>
  </si>
  <si>
    <t>Robert-Guthmann-Str. 30</t>
  </si>
  <si>
    <t>Koenigs Wusterhausen</t>
  </si>
  <si>
    <t>15713</t>
  </si>
  <si>
    <t>KED9</t>
  </si>
  <si>
    <t>Amazon Fulfillment Ceniter KDE9</t>
  </si>
  <si>
    <t>Amazonstrasse 1</t>
  </si>
  <si>
    <t>KTW5-04758</t>
  </si>
  <si>
    <t>KTW5-1</t>
  </si>
  <si>
    <t>KTW5</t>
  </si>
  <si>
    <t>Amazon Fulfilment Center KTW5</t>
  </si>
  <si>
    <t>RLG1</t>
  </si>
  <si>
    <t>Amazon.com-RLG1</t>
  </si>
  <si>
    <t>Gewerbepark Ostsee 3</t>
  </si>
  <si>
    <t>Dummerstorfd</t>
  </si>
  <si>
    <t>18196</t>
  </si>
  <si>
    <t>XDEV</t>
  </si>
  <si>
    <t>Amazon Fulfillment Center XDEV</t>
  </si>
  <si>
    <t>Groner Siekanger 3</t>
  </si>
  <si>
    <t>Goettingen</t>
  </si>
  <si>
    <t>37081</t>
  </si>
  <si>
    <t>DTM1</t>
  </si>
  <si>
    <t>Amazon Fulfillment Center-DTM1</t>
  </si>
  <si>
    <t>Raiffeisenstrasse7</t>
  </si>
  <si>
    <t>Wernea.d.Lippe</t>
  </si>
  <si>
    <t>XLI4</t>
  </si>
  <si>
    <t>1 Av. du Superbe Orenoque</t>
  </si>
  <si>
    <t>Boves</t>
  </si>
  <si>
    <t>FR</t>
  </si>
  <si>
    <t>80440</t>
  </si>
  <si>
    <t>WRO2</t>
  </si>
  <si>
    <t>WRO2 via: Slam Poland Sp. z o.o.</t>
  </si>
  <si>
    <t>XDU5</t>
  </si>
  <si>
    <t>Amazon Fulfillment Center-XDU5</t>
  </si>
  <si>
    <t>Steinmuhle 1</t>
  </si>
  <si>
    <t>Logistikpark Diemelstadt</t>
  </si>
  <si>
    <t>Diemelstadt</t>
  </si>
  <si>
    <t>34474</t>
  </si>
  <si>
    <t>XFK1</t>
  </si>
  <si>
    <t>Goodyearstrasse1</t>
  </si>
  <si>
    <t>Philippsburg</t>
  </si>
  <si>
    <t>Baden-Wurttemberg</t>
  </si>
  <si>
    <t>76661</t>
  </si>
  <si>
    <t>XFR9</t>
  </si>
  <si>
    <t>Amazon Fulfilment Center-XFR9</t>
  </si>
  <si>
    <t>Hungener Str. 66</t>
  </si>
  <si>
    <t>Lich</t>
  </si>
  <si>
    <t>35423</t>
  </si>
  <si>
    <t>XFR7</t>
  </si>
  <si>
    <t>Oggenhauser Hauptstrasse 151 89522 - Heidenheim an der Brenz</t>
  </si>
  <si>
    <t>Baden Wurttemberg</t>
  </si>
  <si>
    <t>89522</t>
  </si>
  <si>
    <t>POZ1-02977</t>
  </si>
  <si>
    <t>POZ1</t>
  </si>
  <si>
    <t>POZ1via: Slam Poland Sp. z o.o.</t>
  </si>
  <si>
    <t>NHE1</t>
  </si>
  <si>
    <t>Amazon Fulfilment Center NHE1</t>
  </si>
  <si>
    <t>Tiberstrabe 2</t>
  </si>
  <si>
    <t>Raunheim</t>
  </si>
  <si>
    <t>65479</t>
  </si>
  <si>
    <t>NNW2</t>
  </si>
  <si>
    <t>Amazon Fulfilment Center NNW2</t>
  </si>
  <si>
    <t>Marconistrabe 10</t>
  </si>
  <si>
    <t>Koln</t>
  </si>
  <si>
    <t>50769</t>
  </si>
  <si>
    <t>IEUB</t>
  </si>
  <si>
    <t>IEUB - 3P AWD FC (Alsdorf, North Rhine-Westphalia, DE)</t>
  </si>
  <si>
    <t>Konrad-Zuse-Street 1</t>
  </si>
  <si>
    <t>Alsdorf</t>
  </si>
  <si>
    <t>North Rhine-Westphalia</t>
  </si>
  <si>
    <t>52477</t>
  </si>
  <si>
    <t>MAD4</t>
  </si>
  <si>
    <t>Amazon Spain Fulfillment, S.L-MAD4</t>
  </si>
  <si>
    <t>Amazon Spain Fulfillment, S.L</t>
  </si>
  <si>
    <t>Avenida De Astronomía 24</t>
  </si>
  <si>
    <t>San Fernando De Henares</t>
  </si>
  <si>
    <t>ES</t>
  </si>
  <si>
    <t>28830</t>
  </si>
  <si>
    <t>BCN1</t>
  </si>
  <si>
    <t>Amazon Spain Fulfillment,S.L.-BCN1</t>
  </si>
  <si>
    <t>Amazon Spain Fulfillment,S.L.</t>
  </si>
  <si>
    <t>Avigunda De les Garrigues 6-8</t>
  </si>
  <si>
    <t>El Prat de Llobregat</t>
  </si>
  <si>
    <t>08820</t>
  </si>
  <si>
    <t>BCN2</t>
  </si>
  <si>
    <t>Amazon Fulfillment Center-BCN2</t>
  </si>
  <si>
    <t>Carrer De La Vernada 22</t>
  </si>
  <si>
    <t>Martorelles</t>
  </si>
  <si>
    <t>08107</t>
  </si>
  <si>
    <t>MAD6</t>
  </si>
  <si>
    <t>Amazon Fulfillment Center-MAD6</t>
  </si>
  <si>
    <t>veredilla III illescas (Toledo)</t>
  </si>
  <si>
    <t>Avenida de la Logistica poligono</t>
  </si>
  <si>
    <t>Castile-La Mancha</t>
  </si>
  <si>
    <t>45200</t>
  </si>
  <si>
    <t>BCN3</t>
  </si>
  <si>
    <t>Amazon Spain Fulfillment, S.L-BCN3</t>
  </si>
  <si>
    <t>Carrer Ferro 12</t>
  </si>
  <si>
    <t>Castellbisbal</t>
  </si>
  <si>
    <t>08755</t>
  </si>
  <si>
    <t>SVQ1</t>
  </si>
  <si>
    <t>Amazon Fufillment Center-SVQ1</t>
  </si>
  <si>
    <t>Amazon Fufillment Center</t>
  </si>
  <si>
    <t>Bulevar Agustin Nunez Llanos sin</t>
  </si>
  <si>
    <t>Poligono La Isla, DosHermanas</t>
  </si>
  <si>
    <t>Sevilla</t>
  </si>
  <si>
    <t>41703</t>
  </si>
  <si>
    <t>XMA1</t>
  </si>
  <si>
    <t>Avenida Rio Henares, 16</t>
  </si>
  <si>
    <t>Alovera</t>
  </si>
  <si>
    <t>19208</t>
  </si>
  <si>
    <t>XMA3</t>
  </si>
  <si>
    <t>Amazon Fulfillment Center-XMA3</t>
  </si>
  <si>
    <t>P.I. Dehesa de la Plata</t>
  </si>
  <si>
    <t>Ontigola</t>
  </si>
  <si>
    <t>45340</t>
  </si>
  <si>
    <t>MAD9</t>
  </si>
  <si>
    <t>Amazon Fulfillment Center-MAD9</t>
  </si>
  <si>
    <t>Camino de los Afligidos</t>
  </si>
  <si>
    <t>Alcala de Henares</t>
  </si>
  <si>
    <t>28804</t>
  </si>
  <si>
    <t>VLC1</t>
  </si>
  <si>
    <t>Calle Panama,28Onda</t>
  </si>
  <si>
    <t>Castellon</t>
  </si>
  <si>
    <t>12200</t>
  </si>
  <si>
    <t>MAD7</t>
  </si>
  <si>
    <t>Amazon Fulfillment Center-MAD7</t>
  </si>
  <si>
    <t>Amazon EU SARL, sucursal en Espana</t>
  </si>
  <si>
    <t>Carretera antigua Madrid-Toledo 38D</t>
  </si>
  <si>
    <t>Illescas</t>
  </si>
  <si>
    <t>BCN8</t>
  </si>
  <si>
    <t>Amazon.com Services, Inc.BCN8</t>
  </si>
  <si>
    <t>Carrer Ca n'Alzina, 161 Sabadell</t>
  </si>
  <si>
    <t>Barcelona</t>
  </si>
  <si>
    <t>08210</t>
  </si>
  <si>
    <t>ZAZ1</t>
  </si>
  <si>
    <t>Amazon Fulfillment Center ZAZ1</t>
  </si>
  <si>
    <t>Polígono – Plataforma Logística de</t>
  </si>
  <si>
    <t>ALI-28 y ALI-2</t>
  </si>
  <si>
    <t>Zaragoza</t>
  </si>
  <si>
    <t>50197</t>
  </si>
  <si>
    <t>ES9C</t>
  </si>
  <si>
    <t>Maoxiong-Agam-3900</t>
  </si>
  <si>
    <t>Calle Burniola,9C</t>
  </si>
  <si>
    <t>IrunGuipuzcoa</t>
  </si>
  <si>
    <t>20305</t>
  </si>
  <si>
    <t>BVA1</t>
  </si>
  <si>
    <t>Amazon Fulfillment Center-BVA1</t>
  </si>
  <si>
    <t>AmazonFulfillmentCenter</t>
  </si>
  <si>
    <t>Avenue du Superbe Orenoque</t>
  </si>
  <si>
    <t>AMIENS CEDEX</t>
  </si>
  <si>
    <t>80337</t>
  </si>
  <si>
    <t>MRS1</t>
  </si>
  <si>
    <t>Amazon Fulfillment Center-MRS1</t>
  </si>
  <si>
    <t>Building II ZAC les Portes</t>
  </si>
  <si>
    <t>de Provence</t>
  </si>
  <si>
    <t>MONTELIMAR CEDEX</t>
  </si>
  <si>
    <t>26132</t>
  </si>
  <si>
    <t>LIL1</t>
  </si>
  <si>
    <t>Amazon Fulfillment Center-LIL1</t>
  </si>
  <si>
    <t>1, Rue Amazon</t>
  </si>
  <si>
    <t>LAUWIN PLANQUE</t>
  </si>
  <si>
    <t>59353</t>
  </si>
  <si>
    <t>LYS1</t>
  </si>
  <si>
    <t>Amazon Fulfillment Center-LYS1</t>
  </si>
  <si>
    <t>Distripôle Châlons</t>
  </si>
  <si>
    <t>ZAC Val de Bourgogne</t>
  </si>
  <si>
    <t>SEVREY CEDEX</t>
  </si>
  <si>
    <t>71311</t>
  </si>
  <si>
    <t>CDG7-60452</t>
  </si>
  <si>
    <t>CDG7-1</t>
  </si>
  <si>
    <t>CDG7</t>
  </si>
  <si>
    <t>avenue Alain BoucherParc</t>
  </si>
  <si>
    <t>d'activitesDes PortesDeSenlis</t>
  </si>
  <si>
    <t>Senlis CEDEX</t>
  </si>
  <si>
    <t>60452</t>
  </si>
  <si>
    <t>XVA1</t>
  </si>
  <si>
    <t>Amazon Fulfillment Center-XVA1</t>
  </si>
  <si>
    <t>5 Rue Henri Guillaumet</t>
  </si>
  <si>
    <t>CEVA Logistics</t>
  </si>
  <si>
    <t>Bussy-Lettree</t>
  </si>
  <si>
    <t>51320</t>
  </si>
  <si>
    <t>XOS1</t>
  </si>
  <si>
    <t>AmazonFulfillmentCenter-XOS1</t>
  </si>
  <si>
    <t>Rue de Corbehem,Brebieres</t>
  </si>
  <si>
    <t>Hauts-de-France</t>
  </si>
  <si>
    <t>62117</t>
  </si>
  <si>
    <t>XCD1</t>
  </si>
  <si>
    <t>50 Boulevard de l Europe</t>
  </si>
  <si>
    <t>Combs-la-Ville</t>
  </si>
  <si>
    <t>77380</t>
  </si>
  <si>
    <t>XOR1</t>
  </si>
  <si>
    <t>Parc d'activité de l'A5,2449 Rue Denis Papin</t>
  </si>
  <si>
    <t>Réau</t>
  </si>
  <si>
    <t>77550</t>
  </si>
  <si>
    <t>LIL8</t>
  </si>
  <si>
    <t>LIL8-59553 Amazon Fulfilment Center</t>
  </si>
  <si>
    <t>1710 Rue de la Plaine</t>
  </si>
  <si>
    <t>Lauwin-Planque</t>
  </si>
  <si>
    <t>59553</t>
  </si>
  <si>
    <t>ORY1</t>
  </si>
  <si>
    <t>ORY1 Amazon Fulfillment Center</t>
  </si>
  <si>
    <t>Pole 45 1401 rue du Champ Rouge</t>
  </si>
  <si>
    <t>SARAN CEDEX 45772</t>
  </si>
  <si>
    <t>SARAN</t>
  </si>
  <si>
    <t>45772</t>
  </si>
  <si>
    <t>ETZ2</t>
  </si>
  <si>
    <t>Amazon Fulfillment Center-ETZ2</t>
  </si>
  <si>
    <t>Amazon Fulfillment Center-</t>
  </si>
  <si>
    <t>1 rue de la Croix de Lorraine</t>
  </si>
  <si>
    <t>Augny</t>
  </si>
  <si>
    <t>57685</t>
  </si>
  <si>
    <t>XOR4</t>
  </si>
  <si>
    <t>370 rue des Gaulois</t>
  </si>
  <si>
    <t>Hauts de France</t>
  </si>
  <si>
    <t>St Sauveur</t>
  </si>
  <si>
    <t>80470</t>
  </si>
  <si>
    <t>67400</t>
  </si>
  <si>
    <t>Ramen-HT-PQZY LESIGOU</t>
  </si>
  <si>
    <t>Macway -9 Route D'</t>
  </si>
  <si>
    <t>Illkirch</t>
  </si>
  <si>
    <t>BAV1</t>
  </si>
  <si>
    <t>Amazon Fulfillment Center BAV1</t>
  </si>
  <si>
    <t>Avenue du Superbe Orenoq</t>
  </si>
  <si>
    <t>51230</t>
  </si>
  <si>
    <t>XOR2</t>
  </si>
  <si>
    <t>Amazon Fulfillment Center-XOR2</t>
  </si>
  <si>
    <t>RueduBrisson Batiment IDC9</t>
  </si>
  <si>
    <t>Satolas-et-Bonce</t>
  </si>
  <si>
    <t>38290</t>
  </si>
  <si>
    <t>XCD2</t>
  </si>
  <si>
    <t>Amazon XCD2</t>
  </si>
  <si>
    <t>Parc d'Activités des Pierres Blanches</t>
  </si>
  <si>
    <t>Denain</t>
  </si>
  <si>
    <t>59220</t>
  </si>
  <si>
    <t>CDG8</t>
  </si>
  <si>
    <t>Amazon Fulfillment Center-CDG8</t>
  </si>
  <si>
    <t>1 Avenue Boule</t>
  </si>
  <si>
    <t>Beauchamp</t>
  </si>
  <si>
    <t>lle-de-France</t>
  </si>
  <si>
    <t>95250</t>
  </si>
  <si>
    <t>MXP5</t>
  </si>
  <si>
    <t>Amazon Fulfillment Center-MXP5</t>
  </si>
  <si>
    <t>Strada Dogana Po, 2U</t>
  </si>
  <si>
    <t>Castel San Giovanni PC</t>
  </si>
  <si>
    <t>IT</t>
  </si>
  <si>
    <t>29015</t>
  </si>
  <si>
    <t>XITC</t>
  </si>
  <si>
    <t>Amazon XITC – Geodis Logistics SpA</t>
  </si>
  <si>
    <t>Via Aldo Moro 4</t>
  </si>
  <si>
    <t>Francolino di Carpiano (MI)</t>
  </si>
  <si>
    <t>20080</t>
  </si>
  <si>
    <t>FCO1</t>
  </si>
  <si>
    <t>Amazon Fulfillment Center-FCO1</t>
  </si>
  <si>
    <t>Via della Meccanica snc</t>
  </si>
  <si>
    <t>Passo Corese</t>
  </si>
  <si>
    <t>02032</t>
  </si>
  <si>
    <t>MXP3</t>
  </si>
  <si>
    <t>Amazon Fulfillment Center-MXP3</t>
  </si>
  <si>
    <t>Via Rita Levi Montalcini 2</t>
  </si>
  <si>
    <t>Vercelli</t>
  </si>
  <si>
    <t>13100</t>
  </si>
  <si>
    <t>TRN1</t>
  </si>
  <si>
    <t>Amazon Italia Logistica S.R.L.-TRN1</t>
  </si>
  <si>
    <t>Amazon Italia Logistica S.R.L.</t>
  </si>
  <si>
    <t>Strada Provinciale per</t>
  </si>
  <si>
    <t>Rondissone 90</t>
  </si>
  <si>
    <t>Torrazza Piedmonte</t>
  </si>
  <si>
    <t>10037</t>
  </si>
  <si>
    <t>XMP1</t>
  </si>
  <si>
    <t>Amazon Fulfillment Center-XMP1</t>
  </si>
  <si>
    <t>Via Maestri Del Lavoro, 990</t>
  </si>
  <si>
    <t>Arqua Polesine</t>
  </si>
  <si>
    <t>45031</t>
  </si>
  <si>
    <t>XMP2</t>
  </si>
  <si>
    <t>Amazon Fulfillment Center- XMP2</t>
  </si>
  <si>
    <t>Francolino</t>
  </si>
  <si>
    <t>BLQ1</t>
  </si>
  <si>
    <t>Via Ipazia D’Alessandria 946</t>
  </si>
  <si>
    <t>San Bellino</t>
  </si>
  <si>
    <t>45020</t>
  </si>
  <si>
    <t>FCO2</t>
  </si>
  <si>
    <t>Via Palianese  Colleferro</t>
  </si>
  <si>
    <t>colleferro</t>
  </si>
  <si>
    <t>00034</t>
  </si>
  <si>
    <t>VEII</t>
  </si>
  <si>
    <t>Strada della Torre della Razza, 62</t>
  </si>
  <si>
    <t>Piacenza</t>
  </si>
  <si>
    <t>29100</t>
  </si>
  <si>
    <t>XITD</t>
  </si>
  <si>
    <t>Amazon XITD – Geodis Logistics-XITD</t>
  </si>
  <si>
    <t>Amazon XITD – Geodis Logistics</t>
  </si>
  <si>
    <t>Viale Maestri del Lavoro 990</t>
  </si>
  <si>
    <t>Arquà Polesine</t>
  </si>
  <si>
    <t>MXP6</t>
  </si>
  <si>
    <t>Amazon Italia Logistica S.R.L</t>
  </si>
  <si>
    <t>Strada Provinciale 299 snc</t>
  </si>
  <si>
    <t>AGOGNATE</t>
  </si>
  <si>
    <t>28100</t>
  </si>
  <si>
    <t>TRN3</t>
  </si>
  <si>
    <t>Amazon EU SARL - TRN3</t>
  </si>
  <si>
    <t>Str. John Fitzgerald Kennedy</t>
  </si>
  <si>
    <t>Alessandria Piedmont</t>
  </si>
  <si>
    <t>15122</t>
  </si>
  <si>
    <t>BLQ8</t>
  </si>
  <si>
    <t>Amazon Fulfillment Center-BLQ8</t>
  </si>
  <si>
    <t>Via Pelloni 5</t>
  </si>
  <si>
    <t>Modena</t>
  </si>
  <si>
    <t>Spilamberto</t>
  </si>
  <si>
    <t>41057</t>
  </si>
  <si>
    <t>XLI3</t>
  </si>
  <si>
    <t>Amazon Fulfillment Center-XLI3</t>
  </si>
  <si>
    <t>Strada Provinciale 128 - KM2</t>
  </si>
  <si>
    <t>Marzano Pavia</t>
  </si>
  <si>
    <t>27010</t>
  </si>
  <si>
    <t>BGY1</t>
  </si>
  <si>
    <t>Amazon Fulfillment Center-BGY1</t>
  </si>
  <si>
    <t>Via Primo Maggio8</t>
  </si>
  <si>
    <t>BERGAMO</t>
  </si>
  <si>
    <t>24050</t>
  </si>
  <si>
    <t>PST2</t>
  </si>
  <si>
    <t>Amazon Fulfillment Center (PSR2)</t>
  </si>
  <si>
    <t>Viale Germania, 29</t>
  </si>
  <si>
    <t>San Salvo</t>
  </si>
  <si>
    <t>66050</t>
  </si>
  <si>
    <t>SZZ1</t>
  </si>
  <si>
    <t>Amazon Fulfillment-SZZ1</t>
  </si>
  <si>
    <t>Amazon Fulfillment Poland sp. z o.o</t>
  </si>
  <si>
    <t>Kołbaskowo 156</t>
  </si>
  <si>
    <t>Kołbaskowo</t>
  </si>
  <si>
    <t>PL</t>
  </si>
  <si>
    <t>72001</t>
  </si>
  <si>
    <t>KTW3</t>
  </si>
  <si>
    <t>AMAZON.COM, KTW3</t>
  </si>
  <si>
    <t>80 Bojkowska</t>
  </si>
  <si>
    <t>Gliwice</t>
  </si>
  <si>
    <t>44141</t>
  </si>
  <si>
    <t>WRO3</t>
  </si>
  <si>
    <t>Amazon Fulfillment-WRO3</t>
  </si>
  <si>
    <t>Amazon Fulfillment</t>
  </si>
  <si>
    <t>Czekoladowa 1</t>
  </si>
  <si>
    <t>Bielany</t>
  </si>
  <si>
    <t>55040</t>
  </si>
  <si>
    <t>POZ2</t>
  </si>
  <si>
    <t>Amazon Filfillment Center</t>
  </si>
  <si>
    <t>Chociule 100</t>
  </si>
  <si>
    <t>Chociule</t>
  </si>
  <si>
    <t>66-200</t>
  </si>
  <si>
    <t>CDG7-60300</t>
  </si>
  <si>
    <t>AMAZON FULFILLMENT CENTER</t>
  </si>
  <si>
    <t>1 AVENUE ALAIN BOUCHER</t>
  </si>
  <si>
    <t>SENLIS CEDEX</t>
  </si>
  <si>
    <t>SENLIS</t>
  </si>
  <si>
    <t>60300</t>
  </si>
  <si>
    <t>WRO5-59225</t>
  </si>
  <si>
    <t>WRO5-1</t>
  </si>
  <si>
    <t>Amazon Fulfillment Center WRO5</t>
  </si>
  <si>
    <t>Okmiany Chojnow Okmiany</t>
  </si>
  <si>
    <t>Dolnoslaskie voivodeship</t>
  </si>
  <si>
    <t>Okmiany</t>
  </si>
  <si>
    <t>59225</t>
  </si>
  <si>
    <t>POZ1-62080</t>
  </si>
  <si>
    <t>POZ1-1</t>
  </si>
  <si>
    <t>Amazon Fulfillment Poland</t>
  </si>
  <si>
    <t>Poznanska 1d</t>
  </si>
  <si>
    <t>Sady</t>
  </si>
  <si>
    <t>62080</t>
  </si>
  <si>
    <t>LCJ2-95200</t>
  </si>
  <si>
    <t>LCJ2-1</t>
  </si>
  <si>
    <t>Amazon.com LCJ2</t>
  </si>
  <si>
    <t>Pawlikowice 155 Pabianice</t>
  </si>
  <si>
    <t>Pawlikowice</t>
  </si>
  <si>
    <t>95200</t>
  </si>
  <si>
    <t>XPO1-66340</t>
  </si>
  <si>
    <t>XPO1-1</t>
  </si>
  <si>
    <t>XPO1 - IDL AFTX</t>
  </si>
  <si>
    <t>ID Logistics Poland</t>
  </si>
  <si>
    <t>Nowa Niedrzwica 58</t>
  </si>
  <si>
    <t>Przytoczna</t>
  </si>
  <si>
    <t>66340</t>
  </si>
  <si>
    <t>ICD9-95250</t>
  </si>
  <si>
    <t>ICD9</t>
  </si>
  <si>
    <t>PRG2</t>
  </si>
  <si>
    <t>PRG2 via: Slam Poland Sp. z o.o.</t>
  </si>
  <si>
    <t>XVL1</t>
  </si>
  <si>
    <t>PANATTONI PARK Carrer Principal</t>
  </si>
  <si>
    <t>Poligon Industrial Les Planes Baixes CEVA Logistics</t>
  </si>
  <si>
    <t>Tarragona</t>
  </si>
  <si>
    <t>Catalunia</t>
  </si>
  <si>
    <t>43717</t>
  </si>
  <si>
    <t>XCD7</t>
  </si>
  <si>
    <t>Amazon</t>
  </si>
  <si>
    <t>4 Rue Alfred Kasler CEVA LOGISTICS</t>
  </si>
  <si>
    <t>Mably</t>
  </si>
  <si>
    <t>42300</t>
  </si>
  <si>
    <t>KTW5 via: Slam Poland Sp. z o.o.</t>
  </si>
  <si>
    <t>WRO1via: Slam Poland Sp. z o.o.</t>
  </si>
  <si>
    <t>GB 英国</t>
  </si>
  <si>
    <t>AFT7</t>
  </si>
  <si>
    <t>Amazon EU SARL</t>
  </si>
  <si>
    <t>88888</t>
  </si>
  <si>
    <t>Meltonwest Business Park Melton</t>
  </si>
  <si>
    <t>Melton West</t>
  </si>
  <si>
    <t>Hull</t>
  </si>
  <si>
    <t>Yorkshire</t>
  </si>
  <si>
    <t>GB</t>
  </si>
  <si>
    <t>HU14 3HB</t>
  </si>
  <si>
    <t>BHX1</t>
  </si>
  <si>
    <t>BHX1 AMAZON</t>
  </si>
  <si>
    <t>Tower business park</t>
  </si>
  <si>
    <t>Power Station Rd</t>
  </si>
  <si>
    <t>Rugeley</t>
  </si>
  <si>
    <t>WS15 1LX</t>
  </si>
  <si>
    <t>BHX2</t>
  </si>
  <si>
    <t>BHX2 Amazon</t>
  </si>
  <si>
    <t>Robson Way COALVILLE,1</t>
  </si>
  <si>
    <t>COALVILLE</t>
  </si>
  <si>
    <t>LE67 1GQ</t>
  </si>
  <si>
    <t>BHX3</t>
  </si>
  <si>
    <t>BHX3 Amazon</t>
  </si>
  <si>
    <t>BHX3 AMAZON</t>
  </si>
  <si>
    <t>BHX3 Amazon, 4 Royal Oak Way N</t>
  </si>
  <si>
    <t>Daventry</t>
  </si>
  <si>
    <t>NN11 8PQ</t>
  </si>
  <si>
    <t>BHX4 Amazon</t>
  </si>
  <si>
    <t>BHX4 AMAZON</t>
  </si>
  <si>
    <t>Plot 1, Lyons Park,</t>
  </si>
  <si>
    <t>Sayer Dr</t>
  </si>
  <si>
    <t>COVENTRY</t>
  </si>
  <si>
    <t>CV5 9PF</t>
  </si>
  <si>
    <t>BHX5</t>
  </si>
  <si>
    <t>BHX5 Amazon</t>
  </si>
  <si>
    <t>Amazon BHX5 Fulfillment Center</t>
  </si>
  <si>
    <t>Unit 3 Waver Way</t>
  </si>
  <si>
    <t>Rugby</t>
  </si>
  <si>
    <t>West Midlands</t>
  </si>
  <si>
    <t>CV23 0XF</t>
  </si>
  <si>
    <t>BHX7</t>
  </si>
  <si>
    <t>BHX7 Amazon</t>
  </si>
  <si>
    <t>BHX7 Amazon, Unit 2, Hinckley Park</t>
  </si>
  <si>
    <t>Hinckley Island</t>
  </si>
  <si>
    <t>Hinckley</t>
  </si>
  <si>
    <t>LE10 3FF</t>
  </si>
  <si>
    <t>BHX8</t>
  </si>
  <si>
    <t>Unit A, Gateway,Coventry Hwy</t>
  </si>
  <si>
    <t>Redditch</t>
  </si>
  <si>
    <t>B98 9AY</t>
  </si>
  <si>
    <t>BRS1</t>
  </si>
  <si>
    <t>BRS1 AMAZON</t>
  </si>
  <si>
    <t>BRS1 Amazon, Severn Beach</t>
  </si>
  <si>
    <t>Bristol</t>
  </si>
  <si>
    <t>BS35 4DJ</t>
  </si>
  <si>
    <t>BRS2</t>
  </si>
  <si>
    <t>Unit 2, Symmetry Park</t>
  </si>
  <si>
    <t>Laines Way, South Marston</t>
  </si>
  <si>
    <t>SWINDON</t>
  </si>
  <si>
    <t>SN3 4DB</t>
  </si>
  <si>
    <t>CWL1</t>
  </si>
  <si>
    <t>CWL1 AMAZON</t>
  </si>
  <si>
    <t>CWL1 Amazon, Ffordd Amazon</t>
  </si>
  <si>
    <t>Skewen</t>
  </si>
  <si>
    <t>Swansea</t>
  </si>
  <si>
    <t>SA1 8QX</t>
  </si>
  <si>
    <t>DSA2</t>
  </si>
  <si>
    <t>Brickyard Lane</t>
  </si>
  <si>
    <t>North Ferriby</t>
  </si>
  <si>
    <t>HU14 3RS</t>
  </si>
  <si>
    <t>DSA6</t>
  </si>
  <si>
    <t>AMAZON EU SARL UK BRANCH</t>
  </si>
  <si>
    <t>New Market Lane</t>
  </si>
  <si>
    <t>Wakefield</t>
  </si>
  <si>
    <t>LS269DN</t>
  </si>
  <si>
    <t>DSA7</t>
  </si>
  <si>
    <t>Wakefield 515, Grovehall Lane</t>
  </si>
  <si>
    <t>KNOTTINGLEY</t>
  </si>
  <si>
    <t>West Yorkshire</t>
  </si>
  <si>
    <t>WF11 0AB</t>
  </si>
  <si>
    <t>EDI4</t>
  </si>
  <si>
    <t>EDI4 Amazon</t>
  </si>
  <si>
    <t>Amazon.co.uk</t>
  </si>
  <si>
    <t>Amazon Way</t>
  </si>
  <si>
    <t>Dunfermline</t>
  </si>
  <si>
    <t>KY11 8ST</t>
  </si>
  <si>
    <t>EMA1</t>
  </si>
  <si>
    <t>EMA1 AMAZON</t>
  </si>
  <si>
    <t>EMA1 Amazon, Unit 1 Wilders Way</t>
  </si>
  <si>
    <t>Derby</t>
  </si>
  <si>
    <t>DE74 2BB</t>
  </si>
  <si>
    <t>EMA3</t>
  </si>
  <si>
    <t>10 Oyster Road Eastwood</t>
  </si>
  <si>
    <t>Nottingham</t>
  </si>
  <si>
    <t>NG16 3UA</t>
  </si>
  <si>
    <t>EMA4</t>
  </si>
  <si>
    <t>24 WHITMOOR DRIVE MINWORTH</t>
  </si>
  <si>
    <t>SUTTON COLDFIELD</t>
  </si>
  <si>
    <t>Birmingham</t>
  </si>
  <si>
    <t>B76 9AH</t>
  </si>
  <si>
    <t>EUK5</t>
  </si>
  <si>
    <t>EUK5 AMAZON</t>
  </si>
  <si>
    <t>Unit 1,Phase 2 Kingston Park</t>
  </si>
  <si>
    <t>Flaxley Rd</t>
  </si>
  <si>
    <t>Peterborough</t>
  </si>
  <si>
    <t>PE2 9EN</t>
  </si>
  <si>
    <t>EUKA</t>
  </si>
  <si>
    <t>EUKA Amazon</t>
  </si>
  <si>
    <t>Units 9 – 10 Manasty Rd Orton</t>
  </si>
  <si>
    <t>Southgate</t>
  </si>
  <si>
    <t>PE2 6UG</t>
  </si>
  <si>
    <t>EUKB</t>
  </si>
  <si>
    <t>EUKB  Amazon</t>
  </si>
  <si>
    <t>Unit 12, Overton Park, Holkham Road</t>
  </si>
  <si>
    <t>PE2 6TE</t>
  </si>
  <si>
    <t>GLA1</t>
  </si>
  <si>
    <t>GLA1 Amazon</t>
  </si>
  <si>
    <t>2 Cloch Road Faulds Park</t>
  </si>
  <si>
    <t>Inverclyde</t>
  </si>
  <si>
    <t>PA19 1BQ</t>
  </si>
  <si>
    <t>LBA1</t>
  </si>
  <si>
    <t>LBA1 AMAZON</t>
  </si>
  <si>
    <t>Balby Carr Bank</t>
  </si>
  <si>
    <t>Doncaster</t>
  </si>
  <si>
    <t>DN4 5JS</t>
  </si>
  <si>
    <t>LBA2</t>
  </si>
  <si>
    <t>LBA2 AMAZON</t>
  </si>
  <si>
    <t>LBA2 Amazon, Unit 1, IP1, Iport Ave</t>
  </si>
  <si>
    <t>Loversall</t>
  </si>
  <si>
    <t>DN11 0BG</t>
  </si>
  <si>
    <t>LBA4</t>
  </si>
  <si>
    <t>LBA4 AMAZON</t>
  </si>
  <si>
    <t>Unit IP9, Toronto Way</t>
  </si>
  <si>
    <t>New Rossington</t>
  </si>
  <si>
    <t>DN11 0GU</t>
  </si>
  <si>
    <t>LBA5</t>
  </si>
  <si>
    <t>Gateway 45,Aire Valley Rd</t>
  </si>
  <si>
    <t>LEEDS</t>
  </si>
  <si>
    <t>LS9 0PS</t>
  </si>
  <si>
    <t>LBA8</t>
  </si>
  <si>
    <t>Amazon Services LBA8/IMN1</t>
  </si>
  <si>
    <t>Unit 3, Logic Leeds</t>
  </si>
  <si>
    <t>Skelton Moor Way</t>
  </si>
  <si>
    <t>LS15 0BF</t>
  </si>
  <si>
    <t>LCY2</t>
  </si>
  <si>
    <t>LCY2 Amazon</t>
  </si>
  <si>
    <t>Unit 2 London Distribution Park</t>
  </si>
  <si>
    <t>Tilbury</t>
  </si>
  <si>
    <t>RM187AN</t>
  </si>
  <si>
    <t>LCY3</t>
  </si>
  <si>
    <t>LCY3 Amazon</t>
  </si>
  <si>
    <t>Unit 1 Powerhouse Drive</t>
  </si>
  <si>
    <t>Dartford</t>
  </si>
  <si>
    <t>DA1 5XU</t>
  </si>
  <si>
    <t>LPL2</t>
  </si>
  <si>
    <t>LPL2 AMAZON</t>
  </si>
  <si>
    <t>LPL2 Unit 1 Marl Road</t>
  </si>
  <si>
    <t>LIVERPOOL</t>
  </si>
  <si>
    <t>L33 7AP</t>
  </si>
  <si>
    <t>LTN1</t>
  </si>
  <si>
    <t>LTN1 Amazon</t>
  </si>
  <si>
    <t>Marston Gate Distr. Centre</t>
  </si>
  <si>
    <t>Ridgemont</t>
  </si>
  <si>
    <t>MK43 0ZA</t>
  </si>
  <si>
    <t>LTN2</t>
  </si>
  <si>
    <t>LTN2 Amazon</t>
  </si>
  <si>
    <t>Boundary Way</t>
  </si>
  <si>
    <t>Hemel Hempstead</t>
  </si>
  <si>
    <t>HP2 7LF</t>
  </si>
  <si>
    <t>LTN4</t>
  </si>
  <si>
    <t>LTN4 AMAZON</t>
  </si>
  <si>
    <t>Unit DC1 (Prologis)</t>
  </si>
  <si>
    <t>Boscombe Road</t>
  </si>
  <si>
    <t>Dunstable</t>
  </si>
  <si>
    <t>LU5 4FE</t>
  </si>
  <si>
    <t>LTN7</t>
  </si>
  <si>
    <t>LTN7 Amazon</t>
  </si>
  <si>
    <t>LTN7 Amazon, Bedford 405</t>
  </si>
  <si>
    <t>Bedford Commercial Park</t>
  </si>
  <si>
    <t>BEDFORD</t>
  </si>
  <si>
    <t>Bedfordshire</t>
  </si>
  <si>
    <t>MK43 9RH</t>
  </si>
  <si>
    <t>MAN4</t>
  </si>
  <si>
    <t>Amazon Fulfillment Centre</t>
  </si>
  <si>
    <t>29 Gander Lane</t>
  </si>
  <si>
    <t>Chesterfield</t>
  </si>
  <si>
    <t>S43 4PZ</t>
  </si>
  <si>
    <t>MME1</t>
  </si>
  <si>
    <t>MME1 AMAZON</t>
  </si>
  <si>
    <t>Building One Symetry Park</t>
  </si>
  <si>
    <t>Darlington</t>
  </si>
  <si>
    <t>DL1 4BF</t>
  </si>
  <si>
    <t>MME2</t>
  </si>
  <si>
    <t>MME2 AMAZON</t>
  </si>
  <si>
    <t>PEAT EDGE FARM TURSDALE ROAD</t>
  </si>
  <si>
    <t>Durham</t>
  </si>
  <si>
    <t>DH6 5NP</t>
  </si>
  <si>
    <t>NCL1</t>
  </si>
  <si>
    <t>Amazon EU SARL (UK）</t>
  </si>
  <si>
    <t>SOUTH FARM FOLLINGSBY LANE</t>
  </si>
  <si>
    <t>Gateshead</t>
  </si>
  <si>
    <t>FELLING</t>
  </si>
  <si>
    <t>NE10 8YA</t>
  </si>
  <si>
    <t>NCL2</t>
  </si>
  <si>
    <t>North Chapel Lane，Wynyard</t>
  </si>
  <si>
    <t>Billingham</t>
  </si>
  <si>
    <t>STOCKTON-ON-TEES</t>
  </si>
  <si>
    <t>TS22 5TH</t>
  </si>
  <si>
    <t>SUUK</t>
  </si>
  <si>
    <t>SUUK Amazon</t>
  </si>
  <si>
    <t>Principal Place, Amazon UK</t>
  </si>
  <si>
    <t>115 Worship Street  London</t>
  </si>
  <si>
    <t>Greater London</t>
  </si>
  <si>
    <t>EC2A 2BA</t>
  </si>
  <si>
    <t>UXD3</t>
  </si>
  <si>
    <t>Amazon UK Services Ltd.</t>
  </si>
  <si>
    <t>Phase Two,Kingston Park</t>
  </si>
  <si>
    <t>Flaxley Road</t>
  </si>
  <si>
    <t>Cambridge</t>
  </si>
  <si>
    <t>XBH2</t>
  </si>
  <si>
    <t>XBH2 AMAZON</t>
  </si>
  <si>
    <t>DC1 Pro Logis, Central Park</t>
  </si>
  <si>
    <t>CV23 0WB</t>
  </si>
  <si>
    <t>XBH4</t>
  </si>
  <si>
    <t>XBH4 AMAZON</t>
  </si>
  <si>
    <t>Ceva Logistic, Gravelly Way</t>
  </si>
  <si>
    <t>Wolverhampton</t>
  </si>
  <si>
    <t>WV10 7GW</t>
  </si>
  <si>
    <t>XBH5</t>
  </si>
  <si>
    <t>XBH5 AMAZON</t>
  </si>
  <si>
    <t>XBH5 Amazon, Wellington Pkwy</t>
  </si>
  <si>
    <t>Magna park</t>
  </si>
  <si>
    <t>LE17 4XY</t>
  </si>
  <si>
    <t>XBH7</t>
  </si>
  <si>
    <t>XBH7 AMAZON</t>
  </si>
  <si>
    <t>Fortress Way, Suffolk Park</t>
  </si>
  <si>
    <t>Bury St. Edmunds</t>
  </si>
  <si>
    <t>IP32 7FQ</t>
  </si>
  <si>
    <t>XBH9</t>
  </si>
  <si>
    <t>Amazon Fulfillment Center-XBH9</t>
  </si>
  <si>
    <t>Panattoni Park</t>
  </si>
  <si>
    <t>AVONMOUTH</t>
  </si>
  <si>
    <t>BS10 7SD</t>
  </si>
  <si>
    <t>XDS1</t>
  </si>
  <si>
    <t>XDS1 AMAZON</t>
  </si>
  <si>
    <t>XDS1 Amazon, 4 Jackson Lane</t>
  </si>
  <si>
    <t>Dale View</t>
  </si>
  <si>
    <t>Armthorpe</t>
  </si>
  <si>
    <t>DN3 3FX</t>
  </si>
  <si>
    <t>XLP1</t>
  </si>
  <si>
    <t>XLP1 AMAZON</t>
  </si>
  <si>
    <t>XLP1 Amazon,Industrial Park, Zone 3</t>
  </si>
  <si>
    <t>Weighbridge Rd</t>
  </si>
  <si>
    <t>Deeside</t>
  </si>
  <si>
    <t>CH5 2LL</t>
  </si>
  <si>
    <t>XLT1</t>
  </si>
  <si>
    <t>XLT1 Amazon</t>
  </si>
  <si>
    <t>10 Manasty Rd</t>
  </si>
  <si>
    <t>Orton Southgate</t>
  </si>
  <si>
    <t>XLT2</t>
  </si>
  <si>
    <t>XLT2 Amazon</t>
  </si>
  <si>
    <t>12 Holkham Rd</t>
  </si>
  <si>
    <t>XPL1</t>
  </si>
  <si>
    <t>XPL1 Amazon</t>
  </si>
  <si>
    <t>Foundry Point</t>
  </si>
  <si>
    <t>Halebank Industrial Estate</t>
  </si>
  <si>
    <t>Foundry Lane</t>
  </si>
  <si>
    <t>WA8 8WJ</t>
  </si>
  <si>
    <t>XSE6</t>
  </si>
  <si>
    <t>Building S440 Panattoni Park</t>
  </si>
  <si>
    <t>Barge Way</t>
  </si>
  <si>
    <t>Sittingbourne</t>
  </si>
  <si>
    <t>South East England</t>
  </si>
  <si>
    <t>ME10 2XG</t>
  </si>
  <si>
    <t>XUKK</t>
  </si>
  <si>
    <t>XUKK Amazon</t>
  </si>
  <si>
    <t>Amazon.com</t>
  </si>
  <si>
    <t>K&amp;N Birmingham NS 3PL</t>
  </si>
  <si>
    <t>Merlin Park II  Wood Lane</t>
  </si>
  <si>
    <t>B24 9QJ</t>
  </si>
  <si>
    <t>CA 加拿大</t>
  </si>
  <si>
    <t>CA-YVR1</t>
  </si>
  <si>
    <t>450 Derwent PL Delta</t>
  </si>
  <si>
    <t>Vancouver</t>
  </si>
  <si>
    <t>British Columbia</t>
  </si>
  <si>
    <t>CA</t>
  </si>
  <si>
    <t>V3M 5Y9</t>
  </si>
  <si>
    <t>CA-YYZ1</t>
  </si>
  <si>
    <t>6363 Millcreek Drive</t>
  </si>
  <si>
    <t>Mississauga</t>
  </si>
  <si>
    <t>ON</t>
  </si>
  <si>
    <t>L5N 1L8</t>
  </si>
  <si>
    <t>CA-YYZ2</t>
  </si>
  <si>
    <t>2750 Peddie Rd.</t>
  </si>
  <si>
    <t>Milton</t>
  </si>
  <si>
    <t>L9T 0K1</t>
  </si>
  <si>
    <t>CA-YYZ3</t>
  </si>
  <si>
    <t>7995 Winston Churchill Blvd.</t>
  </si>
  <si>
    <t>Brampton</t>
  </si>
  <si>
    <t>L6Y 5Z4</t>
  </si>
  <si>
    <t>CA-YYZ4</t>
  </si>
  <si>
    <t>8050 Heritage Road</t>
  </si>
  <si>
    <t>L6Y 6L5</t>
  </si>
  <si>
    <t>CA-YYZ6</t>
  </si>
  <si>
    <t>L6Y 0C9</t>
  </si>
  <si>
    <t>CA-YVR3</t>
  </si>
  <si>
    <t>109 Braid Street</t>
  </si>
  <si>
    <t>New Westminster</t>
  </si>
  <si>
    <t>BC</t>
  </si>
  <si>
    <t>V3L5H4</t>
  </si>
  <si>
    <t>CA-YVR2</t>
  </si>
  <si>
    <t>Delta</t>
  </si>
  <si>
    <t>CA-YVR4</t>
  </si>
  <si>
    <t>4189 Salish Sea Way</t>
  </si>
  <si>
    <t>Tsawwassen</t>
  </si>
  <si>
    <t>V4M 0B9</t>
  </si>
  <si>
    <t>CA-YYC1</t>
  </si>
  <si>
    <t>293069 Colonel Robertson Way</t>
  </si>
  <si>
    <t>Calgary</t>
  </si>
  <si>
    <t>AB</t>
  </si>
  <si>
    <t>T4A 1C6</t>
  </si>
  <si>
    <t>CA-YOW1</t>
  </si>
  <si>
    <t>5225 Boundary Road</t>
  </si>
  <si>
    <t>Navan</t>
  </si>
  <si>
    <t>K4B 0L3</t>
  </si>
  <si>
    <t>CA-YYZ7</t>
  </si>
  <si>
    <t>12724 Coleraine Drive</t>
  </si>
  <si>
    <t>Bolton</t>
  </si>
  <si>
    <t>L7E 4L8</t>
  </si>
  <si>
    <t>CA-YYZ9</t>
  </si>
  <si>
    <t>6351 Steeles Ave E</t>
  </si>
  <si>
    <t>Scarborough</t>
  </si>
  <si>
    <t>M1X 1N5</t>
  </si>
  <si>
    <t>CA-YEG1</t>
  </si>
  <si>
    <t>1440 39 AVE</t>
  </si>
  <si>
    <t>Nisku</t>
  </si>
  <si>
    <t>T9E 0B4</t>
  </si>
  <si>
    <t>CA-YXX2</t>
  </si>
  <si>
    <t>16131 Blundell Road</t>
  </si>
  <si>
    <t>Richmond</t>
  </si>
  <si>
    <t>V6W 0A3</t>
  </si>
  <si>
    <t>CA-YHM1</t>
  </si>
  <si>
    <t>110 Aeropark Blvd.</t>
  </si>
  <si>
    <t>MOUNT HOPE</t>
  </si>
  <si>
    <t>L0R 1W1</t>
  </si>
  <si>
    <t>CA-YOW3</t>
  </si>
  <si>
    <t>222 Citigate Drive
NEPEAN, ON K2J 7C7
CA</t>
  </si>
  <si>
    <t>Nepean (Barrhaven)</t>
  </si>
  <si>
    <t>K2J 7C7</t>
  </si>
  <si>
    <t>CA-YOO1</t>
  </si>
  <si>
    <t>789 Salem Rd</t>
  </si>
  <si>
    <t>Ajax</t>
  </si>
  <si>
    <t>L1Z 0J2</t>
  </si>
  <si>
    <t>CA-YEG2</t>
  </si>
  <si>
    <t>27383 92 Ave</t>
  </si>
  <si>
    <t>Ave</t>
  </si>
  <si>
    <t>T7X 2X2</t>
  </si>
  <si>
    <t>CA-YXU1</t>
  </si>
  <si>
    <t>11884 Sunset Rd</t>
  </si>
  <si>
    <t>St Thomas</t>
  </si>
  <si>
    <t>N5P 0G9</t>
  </si>
  <si>
    <t>CA-YYC4</t>
  </si>
  <si>
    <t>6635 106 AVE SE</t>
  </si>
  <si>
    <t>CALGARY</t>
  </si>
  <si>
    <t>T2C 5X1</t>
  </si>
  <si>
    <t>US 美国</t>
  </si>
  <si>
    <t>SJC7</t>
  </si>
  <si>
    <t>188 Mountain House Parkway</t>
  </si>
  <si>
    <t>Tracy</t>
  </si>
  <si>
    <t>US</t>
  </si>
  <si>
    <t>95377-8906</t>
  </si>
  <si>
    <t>GSO1</t>
  </si>
  <si>
    <t>1656 OLD GREENSBORO RD</t>
  </si>
  <si>
    <t>KERNERSVILLE</t>
  </si>
  <si>
    <t>NC</t>
  </si>
  <si>
    <t>27284-6855</t>
  </si>
  <si>
    <t>PDX9</t>
  </si>
  <si>
    <t>1250 NW Swigert Way</t>
  </si>
  <si>
    <t>TROUTDALE</t>
  </si>
  <si>
    <t>OR</t>
  </si>
  <si>
    <t>97060</t>
  </si>
  <si>
    <t>LAS7</t>
  </si>
  <si>
    <t>6001 East Tropical Parkway</t>
  </si>
  <si>
    <t>LAS VEGAS</t>
  </si>
  <si>
    <t>NV</t>
  </si>
  <si>
    <t>89115-1935</t>
  </si>
  <si>
    <t>MCO2</t>
  </si>
  <si>
    <t xml:space="preserve"> 2600 N Normandy Blvd</t>
  </si>
  <si>
    <t>DELTONA</t>
  </si>
  <si>
    <t>FL</t>
  </si>
  <si>
    <t>32725-2610</t>
  </si>
  <si>
    <t>GYR3</t>
  </si>
  <si>
    <t>8181 W ROOSEVELT ST</t>
  </si>
  <si>
    <t>PHOENIX</t>
  </si>
  <si>
    <t>AZ</t>
  </si>
  <si>
    <t>85043-2356</t>
  </si>
  <si>
    <t>MSP1</t>
  </si>
  <si>
    <t>2601 4th Avenue East</t>
  </si>
  <si>
    <t>SHAKOPEE</t>
  </si>
  <si>
    <t>MN</t>
  </si>
  <si>
    <t>55379-1726</t>
  </si>
  <si>
    <t>DFW7</t>
  </si>
  <si>
    <t>700 Westport Parkway</t>
  </si>
  <si>
    <t>FORT WORTH</t>
  </si>
  <si>
    <t>TX</t>
  </si>
  <si>
    <t>76177-4513</t>
  </si>
  <si>
    <t>ABE4</t>
  </si>
  <si>
    <t>1610 VAN BUREN RD</t>
  </si>
  <si>
    <t>EASTON</t>
  </si>
  <si>
    <t>PA</t>
  </si>
  <si>
    <t>18045-7807</t>
  </si>
  <si>
    <t>GSP1</t>
  </si>
  <si>
    <t>402 John Dodd Rd</t>
  </si>
  <si>
    <t>Spartanburg</t>
  </si>
  <si>
    <t>SC</t>
  </si>
  <si>
    <t>29303-6312</t>
  </si>
  <si>
    <t>TPA6</t>
  </si>
  <si>
    <t>3400 NW 35th Avenue Road</t>
  </si>
  <si>
    <t>OCALA</t>
  </si>
  <si>
    <t>34475-4625</t>
  </si>
  <si>
    <t>CHA2</t>
  </si>
  <si>
    <t>225 Infinity Dr NW</t>
  </si>
  <si>
    <t>Charleston</t>
  </si>
  <si>
    <t>TN</t>
  </si>
  <si>
    <t>37310-1400</t>
  </si>
  <si>
    <t>CHA1</t>
  </si>
  <si>
    <t>7200 Discovery Dr</t>
  </si>
  <si>
    <t>Chattanooga</t>
  </si>
  <si>
    <t>37416</t>
  </si>
  <si>
    <t>CMH3</t>
  </si>
  <si>
    <t>700 GATEWAY BLVD</t>
  </si>
  <si>
    <t>Monroe</t>
  </si>
  <si>
    <t>OH</t>
  </si>
  <si>
    <t>45050-1848</t>
  </si>
  <si>
    <t>IND9</t>
  </si>
  <si>
    <t>1151 S GRAHAM RD</t>
  </si>
  <si>
    <t>GREENWOOD</t>
  </si>
  <si>
    <t>IN</t>
  </si>
  <si>
    <t>46143-7830</t>
  </si>
  <si>
    <t>MQJ2</t>
  </si>
  <si>
    <t>19 BOB Glidden Blvd</t>
  </si>
  <si>
    <t>WHITELAND</t>
  </si>
  <si>
    <t>46184-9108</t>
  </si>
  <si>
    <t>ORD2</t>
  </si>
  <si>
    <t>23714 W Amoco Rd</t>
  </si>
  <si>
    <t>CHANNAHON</t>
  </si>
  <si>
    <t>IL</t>
  </si>
  <si>
    <t>60410-8758</t>
  </si>
  <si>
    <t>MDW9</t>
  </si>
  <si>
    <t>2865 Duke Parkway</t>
  </si>
  <si>
    <t>Aurora</t>
  </si>
  <si>
    <t>60502-8200</t>
  </si>
  <si>
    <t>SAT1</t>
  </si>
  <si>
    <t>6000 Enterprise Avenue</t>
  </si>
  <si>
    <t>Schertz</t>
  </si>
  <si>
    <t>78154-1461</t>
  </si>
  <si>
    <t>RNO4</t>
  </si>
  <si>
    <t>8000 North Virginia Street</t>
  </si>
  <si>
    <t>Reno</t>
  </si>
  <si>
    <t>89506-7701</t>
  </si>
  <si>
    <t>LAX9</t>
  </si>
  <si>
    <t>11263 Oleander Ave</t>
  </si>
  <si>
    <t>FONTANA</t>
  </si>
  <si>
    <t>92337-7441</t>
  </si>
  <si>
    <t>PDX7</t>
  </si>
  <si>
    <t>4775 Depot Ct SE</t>
  </si>
  <si>
    <t>Salem</t>
  </si>
  <si>
    <t>97317-8983</t>
  </si>
  <si>
    <t>BOS7</t>
  </si>
  <si>
    <t>1180 Innovation Way</t>
  </si>
  <si>
    <t>FALL RIVER</t>
  </si>
  <si>
    <t>MA</t>
  </si>
  <si>
    <t>02720-4766</t>
  </si>
  <si>
    <t>BDL2</t>
  </si>
  <si>
    <t>200 Old Iron Ore Rd</t>
  </si>
  <si>
    <t>WILSON</t>
  </si>
  <si>
    <t>CT</t>
  </si>
  <si>
    <t>06095-2144</t>
  </si>
  <si>
    <t>BDL3</t>
  </si>
  <si>
    <t>409 Washington Avenue</t>
  </si>
  <si>
    <t>NORTH HAVEN</t>
  </si>
  <si>
    <t>06473-1307</t>
  </si>
  <si>
    <t>ACY2</t>
  </si>
  <si>
    <t>1101 E PEARL ST</t>
  </si>
  <si>
    <t>BURLINGTON</t>
  </si>
  <si>
    <t>NJ</t>
  </si>
  <si>
    <t>08016-1934</t>
  </si>
  <si>
    <t>TEB3</t>
  </si>
  <si>
    <t>2651 Oldmans Creek Rd</t>
  </si>
  <si>
    <t>Logan Township</t>
  </si>
  <si>
    <t>08085-4503</t>
  </si>
  <si>
    <t>TEB6</t>
  </si>
  <si>
    <t>22 Hightstown Cranbury State Road</t>
  </si>
  <si>
    <t>Cranbury</t>
  </si>
  <si>
    <t>08512-5007</t>
  </si>
  <si>
    <t>ABE8</t>
  </si>
  <si>
    <t>401 Independence Road</t>
  </si>
  <si>
    <t>Florence</t>
  </si>
  <si>
    <t>08518-2200</t>
  </si>
  <si>
    <t>JFK8</t>
  </si>
  <si>
    <t>546 Gulf Avenue</t>
  </si>
  <si>
    <t>Staten Island</t>
  </si>
  <si>
    <t>NY</t>
  </si>
  <si>
    <t>10314</t>
  </si>
  <si>
    <t>ALB1</t>
  </si>
  <si>
    <t>1835 US Route 9</t>
  </si>
  <si>
    <t>Castleton</t>
  </si>
  <si>
    <t>12033-9634</t>
  </si>
  <si>
    <t>PIT2</t>
  </si>
  <si>
    <t>1200 Westport Rd</t>
  </si>
  <si>
    <t>IMPERIAL</t>
  </si>
  <si>
    <t>15126-1002</t>
  </si>
  <si>
    <t>MDT1</t>
  </si>
  <si>
    <t>2 Ames Drive</t>
  </si>
  <si>
    <t>Carlisle</t>
  </si>
  <si>
    <t>17015-7871</t>
  </si>
  <si>
    <t>PHL6</t>
  </si>
  <si>
    <t>675 Allen Rd</t>
  </si>
  <si>
    <t>17015-7788</t>
  </si>
  <si>
    <t>PHL4</t>
  </si>
  <si>
    <t>21 Roadway Drive</t>
  </si>
  <si>
    <t>17015-8806</t>
  </si>
  <si>
    <t>PHL5</t>
  </si>
  <si>
    <t>500 McCarthy Drive</t>
  </si>
  <si>
    <t>Lewisberry</t>
  </si>
  <si>
    <t>17339-8725</t>
  </si>
  <si>
    <t>ABE2</t>
  </si>
  <si>
    <t>705 Boulder Drive</t>
  </si>
  <si>
    <t>BREINIGSVILLE</t>
  </si>
  <si>
    <t>18031-1533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</si>
  <si>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</si>
  <si>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</si>
  <si>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</si>
  <si>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</si>
  <si>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</si>
  <si>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</si>
  <si>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</si>
  <si>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</si>
  <si>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PHL7</t>
  </si>
  <si>
    <t>560 Merrimac Ave</t>
  </si>
  <si>
    <t>Middletown</t>
  </si>
  <si>
    <t>19709-4652</t>
  </si>
  <si>
    <t>BWI1</t>
  </si>
  <si>
    <t>45121 Global Plaza</t>
  </si>
  <si>
    <t>Sterling</t>
  </si>
  <si>
    <t>VA</t>
  </si>
  <si>
    <t>20166-2058</t>
  </si>
  <si>
    <t>DCA6</t>
  </si>
  <si>
    <t>6001 Bethlehem Blvd</t>
  </si>
  <si>
    <t>BALTIMORE</t>
  </si>
  <si>
    <t>MD</t>
  </si>
  <si>
    <t>21219-1041</t>
  </si>
  <si>
    <t>BWI2</t>
  </si>
  <si>
    <t>2010 Broening Hwy</t>
  </si>
  <si>
    <t>21224-6027</t>
  </si>
  <si>
    <t>MDT2</t>
  </si>
  <si>
    <t>600 Principio Parkway West</t>
  </si>
  <si>
    <t>North East</t>
  </si>
  <si>
    <t>21901-2914</t>
  </si>
  <si>
    <t>BWI4</t>
  </si>
  <si>
    <t>165 Business Blvd</t>
  </si>
  <si>
    <t>Clear Brook</t>
  </si>
  <si>
    <t>22624-1568</t>
  </si>
  <si>
    <t>RIC3</t>
  </si>
  <si>
    <t>4949 Commerce Rd</t>
  </si>
  <si>
    <t>RICHMOND</t>
  </si>
  <si>
    <t>23234-2207</t>
  </si>
  <si>
    <t>RIC1</t>
  </si>
  <si>
    <t>5000 COMMERCE WAY</t>
  </si>
  <si>
    <t>PETERSBURG</t>
  </si>
  <si>
    <t>23803-6917</t>
  </si>
  <si>
    <t>RIC2</t>
  </si>
  <si>
    <t>1901 Meadowville Technology Pkwy</t>
  </si>
  <si>
    <t>Chester</t>
  </si>
  <si>
    <t>23836-2841</t>
  </si>
  <si>
    <t>KRB2</t>
  </si>
  <si>
    <t>7000 HARDWARE DR</t>
  </si>
  <si>
    <t>PRINCE GEORGE</t>
  </si>
  <si>
    <t>23875-3041</t>
  </si>
  <si>
    <t>CLT3</t>
  </si>
  <si>
    <t>6500 Davidson Hwy</t>
  </si>
  <si>
    <t>Concord</t>
  </si>
  <si>
    <t>28027-7995</t>
  </si>
  <si>
    <t>MGE3</t>
  </si>
  <si>
    <t>808 Hog Mountain Road</t>
  </si>
  <si>
    <t>Jefferson</t>
  </si>
  <si>
    <t>GA</t>
  </si>
  <si>
    <t>30549-2010</t>
  </si>
  <si>
    <t>SAV3</t>
  </si>
  <si>
    <t>7001 Skipper Rd</t>
  </si>
  <si>
    <t>Macon</t>
  </si>
  <si>
    <t>31216-6427</t>
  </si>
  <si>
    <t>JAX3</t>
  </si>
  <si>
    <t>13333 103rd Street</t>
  </si>
  <si>
    <t>Jacksonville</t>
  </si>
  <si>
    <t>32210-8686</t>
  </si>
  <si>
    <t>JAX2</t>
  </si>
  <si>
    <t>12900 Pecan Park Road</t>
  </si>
  <si>
    <t>JACKSONVILLE</t>
  </si>
  <si>
    <t>32218-2432</t>
  </si>
  <si>
    <t>MCO1</t>
  </si>
  <si>
    <t>12340 Boggy Creek Rd</t>
  </si>
  <si>
    <t>Orlando</t>
  </si>
  <si>
    <t>32824</t>
  </si>
  <si>
    <t>A1MI</t>
  </si>
  <si>
    <t>14000 NW 37th Avenue</t>
  </si>
  <si>
    <t>Opa-Locka</t>
  </si>
  <si>
    <t>33054</t>
  </si>
  <si>
    <t>TPA1</t>
  </si>
  <si>
    <t>3350 Laurel Ridge Ave.</t>
  </si>
  <si>
    <t>Ruskin</t>
  </si>
  <si>
    <t>33570-5526</t>
  </si>
  <si>
    <t>TPA2</t>
  </si>
  <si>
    <t>1760 County Line Rd</t>
  </si>
  <si>
    <t>Lakeland</t>
  </si>
  <si>
    <t>33811-1808</t>
  </si>
  <si>
    <t>TPA3</t>
  </si>
  <si>
    <t>676 C Fred Jones Blvd</t>
  </si>
  <si>
    <t>AUBURNDALE</t>
  </si>
  <si>
    <t>33823-9429</t>
  </si>
  <si>
    <t>BNA3</t>
  </si>
  <si>
    <t>2020 Joe B Jackson Pkwy</t>
  </si>
  <si>
    <t>Murfreesboro</t>
  </si>
  <si>
    <t>37127</t>
  </si>
  <si>
    <t>MEM2</t>
  </si>
  <si>
    <t>191 NORFOLK SOUTHERN WAY</t>
  </si>
  <si>
    <t>BYHALIA</t>
  </si>
  <si>
    <t>MS</t>
  </si>
  <si>
    <t>38611-2306</t>
  </si>
  <si>
    <t>MEM6</t>
  </si>
  <si>
    <t>11505 Progress Way</t>
  </si>
  <si>
    <t>OLIVE BRANCH</t>
  </si>
  <si>
    <t>38654-2510</t>
  </si>
  <si>
    <t>IVSA</t>
  </si>
  <si>
    <t>4620 Olympic Blvd</t>
  </si>
  <si>
    <t>Erlanger</t>
  </si>
  <si>
    <t>KY</t>
  </si>
  <si>
    <t>41018</t>
  </si>
  <si>
    <t>SDF1</t>
  </si>
  <si>
    <t>1050 South Columbia Ave</t>
  </si>
  <si>
    <t>Campbellsville</t>
  </si>
  <si>
    <t>42718-2454</t>
  </si>
  <si>
    <t>CMH1</t>
  </si>
  <si>
    <t>11999 National Road SW</t>
  </si>
  <si>
    <t>Etna</t>
  </si>
  <si>
    <t>43062-7793</t>
  </si>
  <si>
    <t>CMH2</t>
  </si>
  <si>
    <t>6050 Gateway Court</t>
  </si>
  <si>
    <t>Groveport</t>
  </si>
  <si>
    <t>43125-9016</t>
  </si>
  <si>
    <t>IND2</t>
  </si>
  <si>
    <t>715 Airtech Pkwy</t>
  </si>
  <si>
    <t>Plainfield</t>
  </si>
  <si>
    <t>46168-7442</t>
  </si>
  <si>
    <t>IND5</t>
  </si>
  <si>
    <t>800 Perry Road</t>
  </si>
  <si>
    <t>46168-7637</t>
  </si>
  <si>
    <t>IND4</t>
  </si>
  <si>
    <t>710 South Girls School Road</t>
  </si>
  <si>
    <t>Indianapolis</t>
  </si>
  <si>
    <t>46231-1132</t>
  </si>
  <si>
    <t>SDF8</t>
  </si>
  <si>
    <t>900 Patrol Rd</t>
  </si>
  <si>
    <t>Jeffersonville</t>
  </si>
  <si>
    <t>47130-7761</t>
  </si>
  <si>
    <t>DET1</t>
  </si>
  <si>
    <t>39000 Amrhein RD</t>
  </si>
  <si>
    <t>Livonia</t>
  </si>
  <si>
    <t>MI</t>
  </si>
  <si>
    <t>48150-1043</t>
  </si>
  <si>
    <t>DET2</t>
  </si>
  <si>
    <t>50500 Mound Rd</t>
  </si>
  <si>
    <t>Shelby Township</t>
  </si>
  <si>
    <t>48317-1318</t>
  </si>
  <si>
    <t>MKE1</t>
  </si>
  <si>
    <t>3501 120th Avenue</t>
  </si>
  <si>
    <t>KENOSHA</t>
  </si>
  <si>
    <t>WI</t>
  </si>
  <si>
    <t>53144-7502</t>
  </si>
  <si>
    <t>MDW2</t>
  </si>
  <si>
    <t>250 EMERALD DR</t>
  </si>
  <si>
    <t>JOLIET</t>
  </si>
  <si>
    <t>60433-3280</t>
  </si>
  <si>
    <t>STL6</t>
  </si>
  <si>
    <t>3931 Lakeview Corporate Drive</t>
  </si>
  <si>
    <t>Edwardsville</t>
  </si>
  <si>
    <t>62025-2801</t>
  </si>
  <si>
    <t>STL4</t>
  </si>
  <si>
    <t>3050 GATEWAY COMMERCE CENTER DR S</t>
  </si>
  <si>
    <t>62025-2815</t>
  </si>
  <si>
    <t>MKC4</t>
  </si>
  <si>
    <t>19645 Waverly Rd</t>
  </si>
  <si>
    <t>EDGERTON</t>
  </si>
  <si>
    <t>KS</t>
  </si>
  <si>
    <t>66021-9588</t>
  </si>
  <si>
    <t>DFW6</t>
  </si>
  <si>
    <t>940 W Bethel Road</t>
  </si>
  <si>
    <t>Coppell</t>
  </si>
  <si>
    <t>75019-4424</t>
  </si>
  <si>
    <t>FTW9</t>
  </si>
  <si>
    <t>944 West Sandy Lake Road</t>
  </si>
  <si>
    <t>COPPELL</t>
  </si>
  <si>
    <t>75019-3989</t>
  </si>
  <si>
    <t>FTW2</t>
  </si>
  <si>
    <t>2701 West Bethel Road</t>
  </si>
  <si>
    <t>DALLAS</t>
  </si>
  <si>
    <t>75261</t>
  </si>
  <si>
    <t>FTW6</t>
  </si>
  <si>
    <t>2601 W Bethel Road</t>
  </si>
  <si>
    <t>75261-4034</t>
  </si>
  <si>
    <t>FTW3</t>
  </si>
  <si>
    <t>15201 Heritage Pkwy</t>
  </si>
  <si>
    <t>Fort Worth</t>
  </si>
  <si>
    <t>76177-2517</t>
  </si>
  <si>
    <t>ITX2</t>
  </si>
  <si>
    <t>6911 FAIRBANKS N HOUSTON RD</t>
  </si>
  <si>
    <t>SUITE 160</t>
  </si>
  <si>
    <t>Houston</t>
  </si>
  <si>
    <t>77040-1437</t>
  </si>
  <si>
    <t>HOU3</t>
  </si>
  <si>
    <t>31555 Highway 90 E</t>
  </si>
  <si>
    <t>Brookshire</t>
  </si>
  <si>
    <t>77423-2769</t>
  </si>
  <si>
    <t>DEN2</t>
  </si>
  <si>
    <t>22205 East 19th Ave</t>
  </si>
  <si>
    <t>CO</t>
  </si>
  <si>
    <t>80019-3710</t>
  </si>
  <si>
    <t>SLC2</t>
  </si>
  <si>
    <t>7148 W. Old Bingham Hwy</t>
  </si>
  <si>
    <t>JORDAN</t>
  </si>
  <si>
    <t>UT</t>
  </si>
  <si>
    <t>84081</t>
  </si>
  <si>
    <t>PHX6</t>
  </si>
  <si>
    <t>4750 West Mohave St</t>
  </si>
  <si>
    <t>Phoenix</t>
  </si>
  <si>
    <t>85043-8305</t>
  </si>
  <si>
    <t>PHX5</t>
  </si>
  <si>
    <t>16920 W Commerce Drive</t>
  </si>
  <si>
    <t>Goodyear</t>
  </si>
  <si>
    <t>85338-3620</t>
  </si>
  <si>
    <t>LAS1</t>
  </si>
  <si>
    <t>12300 Bermuda Road</t>
  </si>
  <si>
    <t>HENDERSON</t>
  </si>
  <si>
    <t>89044-8746</t>
  </si>
  <si>
    <t>IVSE</t>
  </si>
  <si>
    <t>2951 MARION DR UNIT 101</t>
  </si>
  <si>
    <t>89115-3467</t>
  </si>
  <si>
    <t>LAS6</t>
  </si>
  <si>
    <t>4550 Nexus Way</t>
  </si>
  <si>
    <t>Las Vegas</t>
  </si>
  <si>
    <t>89115-1826</t>
  </si>
  <si>
    <t>LGB4</t>
  </si>
  <si>
    <t>27517pioneer  Avenue</t>
  </si>
  <si>
    <t>Redlands</t>
  </si>
  <si>
    <t>92374-1501</t>
  </si>
  <si>
    <t>SNA4</t>
  </si>
  <si>
    <t>2496 W Walnut Ave</t>
  </si>
  <si>
    <t>Rialto</t>
  </si>
  <si>
    <t>92376-3009</t>
  </si>
  <si>
    <t>LGB8</t>
  </si>
  <si>
    <t>1568 N Linden Ave</t>
  </si>
  <si>
    <t>RIALTO</t>
  </si>
  <si>
    <t>92376-8624</t>
  </si>
  <si>
    <t>KRB1</t>
  </si>
  <si>
    <t>555 E ORANGE SHOW RD</t>
  </si>
  <si>
    <t>San Bernardino</t>
  </si>
  <si>
    <t>92408</t>
  </si>
  <si>
    <t>ONT2</t>
  </si>
  <si>
    <t>1910 E Central Ave</t>
  </si>
  <si>
    <t>SAN BERNARDINO</t>
  </si>
  <si>
    <t>92408-0123</t>
  </si>
  <si>
    <t>SBD2</t>
  </si>
  <si>
    <t>1494 S WATERMAN AVE</t>
  </si>
  <si>
    <t>92408-2805</t>
  </si>
  <si>
    <t>LGB6</t>
  </si>
  <si>
    <t>20901 Krameria Ave</t>
  </si>
  <si>
    <t>Riverside</t>
  </si>
  <si>
    <t>92518-1513</t>
  </si>
  <si>
    <t>ONT8</t>
  </si>
  <si>
    <t>24300 Nandina Ave</t>
  </si>
  <si>
    <t>Moreno Valley</t>
  </si>
  <si>
    <t>92551-9534</t>
  </si>
  <si>
    <t>ONT6</t>
  </si>
  <si>
    <t>24208 San Michele Rd</t>
  </si>
  <si>
    <t>MORENO VALLEY</t>
  </si>
  <si>
    <t>92551-9561</t>
  </si>
  <si>
    <t>KRB4</t>
  </si>
  <si>
    <t>4501 PATTERSON AVE</t>
  </si>
  <si>
    <t>PERRIS</t>
  </si>
  <si>
    <t>92571-9722</t>
  </si>
  <si>
    <t>SMF3</t>
  </si>
  <si>
    <t>3923 S B ST</t>
  </si>
  <si>
    <t>Stockton</t>
  </si>
  <si>
    <t>95206-8202</t>
  </si>
  <si>
    <t>SCK1</t>
  </si>
  <si>
    <t>4532 NEWCASTLE RD</t>
  </si>
  <si>
    <t>STOCKTON</t>
  </si>
  <si>
    <t>95215-9465</t>
  </si>
  <si>
    <t>OAK3</t>
  </si>
  <si>
    <t>255 Park Center Drive</t>
  </si>
  <si>
    <t>Patterson</t>
  </si>
  <si>
    <t>95363-8876</t>
  </si>
  <si>
    <t>BFI4</t>
  </si>
  <si>
    <t>21005 64th Ave S</t>
  </si>
  <si>
    <t>Kent</t>
  </si>
  <si>
    <t>WA</t>
  </si>
  <si>
    <t>98032-2423</t>
  </si>
  <si>
    <t>BFI3</t>
  </si>
  <si>
    <t>2700 Center Drive</t>
  </si>
  <si>
    <t>DUPONT</t>
  </si>
  <si>
    <t>98327-9607</t>
  </si>
  <si>
    <t>FTW1</t>
  </si>
  <si>
    <t>33333 LBJ FWY</t>
  </si>
  <si>
    <t>75241-7203</t>
  </si>
  <si>
    <t>EWR9</t>
  </si>
  <si>
    <t>8003 Industrial Parkway</t>
  </si>
  <si>
    <t>Carteret</t>
  </si>
  <si>
    <t>07008-3529</t>
  </si>
  <si>
    <t>EWR4</t>
  </si>
  <si>
    <t>50 New Canton Way</t>
  </si>
  <si>
    <t>Robbinsville</t>
  </si>
  <si>
    <t>08691-2350</t>
  </si>
  <si>
    <t>TEB9</t>
  </si>
  <si>
    <t>601 Randolph Road</t>
  </si>
  <si>
    <t>SOMERSET</t>
  </si>
  <si>
    <t>08873</t>
  </si>
  <si>
    <t>CLT4</t>
  </si>
  <si>
    <t>8000 TUCKASEEGEE RD</t>
  </si>
  <si>
    <t>CHARLOTTE</t>
  </si>
  <si>
    <t>28214-2633</t>
  </si>
  <si>
    <t>CLT2</t>
  </si>
  <si>
    <t>10240 Old Dowd Rd</t>
  </si>
  <si>
    <t>28214-8082</t>
  </si>
  <si>
    <t>BNA2</t>
  </si>
  <si>
    <t>500 Duke Dr</t>
  </si>
  <si>
    <t>Lebanon</t>
  </si>
  <si>
    <t>37090-8123</t>
  </si>
  <si>
    <t>MEM1</t>
  </si>
  <si>
    <t>3292 E Holmes Rd</t>
  </si>
  <si>
    <t>Memphis</t>
  </si>
  <si>
    <t>38118-8102</t>
  </si>
  <si>
    <t>CVG3</t>
  </si>
  <si>
    <t>Suite 100 3680 Langley Dr.</t>
  </si>
  <si>
    <t>Hebron</t>
  </si>
  <si>
    <t>41048-9135</t>
  </si>
  <si>
    <t>CVG1</t>
  </si>
  <si>
    <t>1155 Worldwide Blvd.</t>
  </si>
  <si>
    <t>41048-8648</t>
  </si>
  <si>
    <t>MQJ1</t>
  </si>
  <si>
    <t>4412 W 300 N</t>
  </si>
  <si>
    <t>GREENFIELD</t>
  </si>
  <si>
    <t>46140-7099</t>
  </si>
  <si>
    <t>DTW1</t>
  </si>
  <si>
    <t>32801 ECORSE ROAD</t>
  </si>
  <si>
    <t>ROMULUS</t>
  </si>
  <si>
    <t>48174</t>
  </si>
  <si>
    <t>JVL1</t>
  </si>
  <si>
    <t>1255 Gateway Blvd</t>
  </si>
  <si>
    <t>BELOIT</t>
  </si>
  <si>
    <t>53511-9709</t>
  </si>
  <si>
    <t>HOU2</t>
  </si>
  <si>
    <t>10550 Ella Blvd.</t>
  </si>
  <si>
    <t>HOUSTON</t>
  </si>
  <si>
    <t>77038-2324</t>
  </si>
  <si>
    <t>PHX7</t>
  </si>
  <si>
    <t>800 N 75th Ave</t>
  </si>
  <si>
    <t>85043-2101</t>
  </si>
  <si>
    <t>PHX3</t>
  </si>
  <si>
    <t>6835 West Buckeye Road</t>
  </si>
  <si>
    <t>85043-4428</t>
  </si>
  <si>
    <t>ONT9</t>
  </si>
  <si>
    <t>2125 West San Bernardino Ave</t>
  </si>
  <si>
    <t>REDLANDS</t>
  </si>
  <si>
    <t>92374-5005</t>
  </si>
  <si>
    <t>SMF1</t>
  </si>
  <si>
    <t>4900 W Elkhorn Blvd</t>
  </si>
  <si>
    <t>Sacramento</t>
  </si>
  <si>
    <t>95835-9505</t>
  </si>
  <si>
    <t>SMF6</t>
  </si>
  <si>
    <t>4930 ALLBAUGH DRSACRAMENTO</t>
  </si>
  <si>
    <t>DRSACRAMENTO</t>
  </si>
  <si>
    <t>95837-9109</t>
  </si>
  <si>
    <t>TEB4</t>
  </si>
  <si>
    <t>747 COURSES LANDING RD</t>
  </si>
  <si>
    <t>PENNS GROVE</t>
  </si>
  <si>
    <t>08069-2957</t>
  </si>
  <si>
    <t>STL3</t>
  </si>
  <si>
    <t>3200 E SAWYER RD</t>
  </si>
  <si>
    <t>REPUBLIC</t>
  </si>
  <si>
    <t>MO</t>
  </si>
  <si>
    <t>65738-2779</t>
  </si>
  <si>
    <t>LGB3</t>
  </si>
  <si>
    <t>4950 Goodman Way</t>
  </si>
  <si>
    <t>Eastvale</t>
  </si>
  <si>
    <t>91752-5087</t>
  </si>
  <si>
    <t>FAT2</t>
  </si>
  <si>
    <t>3315 N KELSEY ST</t>
  </si>
  <si>
    <t>VISALIA</t>
  </si>
  <si>
    <t>93291-1882</t>
  </si>
  <si>
    <t>SBD1</t>
  </si>
  <si>
    <t>3388 S Cactus Ave</t>
  </si>
  <si>
    <t>BLOOMINGTON</t>
  </si>
  <si>
    <t>92316-3819</t>
  </si>
  <si>
    <t>GYR2</t>
  </si>
  <si>
    <t>17341 W MINNEZONA AVE</t>
  </si>
  <si>
    <t>GOODYEAR</t>
  </si>
  <si>
    <t>85395-7672</t>
  </si>
  <si>
    <t>SCK4</t>
  </si>
  <si>
    <t>6001 S AUSTIN RD</t>
  </si>
  <si>
    <t>95215-8354</t>
  </si>
  <si>
    <t>IGQ2</t>
  </si>
  <si>
    <t>23257 S. Central Avenue</t>
  </si>
  <si>
    <t>University Park</t>
  </si>
  <si>
    <t>60484-3271</t>
  </si>
  <si>
    <t>SAT4</t>
  </si>
  <si>
    <t>10384 W US HIGHWAY 90</t>
  </si>
  <si>
    <t>SAN ANTONIO</t>
  </si>
  <si>
    <t>78245-9512</t>
  </si>
  <si>
    <t>LIT2</t>
  </si>
  <si>
    <t>13001 HIGHWAY 70</t>
  </si>
  <si>
    <t>NORTH LITTLE ROCK</t>
  </si>
  <si>
    <t xml:space="preserve">AR </t>
  </si>
  <si>
    <t>72117-5026</t>
  </si>
  <si>
    <t>GEG2</t>
  </si>
  <si>
    <t>6262004360</t>
  </si>
  <si>
    <t>18007 E Garland Ave</t>
  </si>
  <si>
    <t>SPOKANE</t>
  </si>
  <si>
    <t>99216-6102</t>
  </si>
  <si>
    <t>ILG1</t>
  </si>
  <si>
    <t>780 S. DuPont Highway</t>
  </si>
  <si>
    <t>NEW CASTLE</t>
  </si>
  <si>
    <t>19720-4610</t>
  </si>
  <si>
    <t>SWF1</t>
  </si>
  <si>
    <t>635 INTERNATIONAL BLVD</t>
  </si>
  <si>
    <t>ROCK TAVERN</t>
  </si>
  <si>
    <t>12575-5150</t>
  </si>
  <si>
    <t>OKC2</t>
  </si>
  <si>
    <t>8991 S Portland Avenue</t>
  </si>
  <si>
    <t>OKLAHOMA CITY</t>
  </si>
  <si>
    <t>OK</t>
  </si>
  <si>
    <t>73159-0003</t>
  </si>
  <si>
    <t>HOU8</t>
  </si>
  <si>
    <t>2303 Hurricane Lane</t>
  </si>
  <si>
    <t>FRESNO</t>
  </si>
  <si>
    <t>77545-1129</t>
  </si>
  <si>
    <t>HSV1</t>
  </si>
  <si>
    <t>7817 Greenbrier Road</t>
  </si>
  <si>
    <t>MADISON</t>
  </si>
  <si>
    <t>AL</t>
  </si>
  <si>
    <t>35756-4403</t>
  </si>
  <si>
    <t>DEN8</t>
  </si>
  <si>
    <t>21000 E 13th Ave</t>
  </si>
  <si>
    <t>AURORA</t>
  </si>
  <si>
    <t>LFT1</t>
  </si>
  <si>
    <t>3550 NE EVANGELINE TRWY</t>
  </si>
  <si>
    <t>CARENCRO</t>
  </si>
  <si>
    <t>LA</t>
  </si>
  <si>
    <t>70520-5976</t>
  </si>
  <si>
    <t>MDW7</t>
  </si>
  <si>
    <t>6605 Monee Manhattan Road</t>
  </si>
  <si>
    <t>Monee</t>
  </si>
  <si>
    <t>60449-8316</t>
  </si>
  <si>
    <t>MGE1</t>
  </si>
  <si>
    <t>Amazon.com Services, Inc.</t>
  </si>
  <si>
    <t>650 Broadway Avenue</t>
  </si>
  <si>
    <t>Braselton</t>
  </si>
  <si>
    <t>30517-3002</t>
  </si>
  <si>
    <t>ICT2</t>
  </si>
  <si>
    <t>7130 N BROADWAY AVE</t>
  </si>
  <si>
    <t>PARK CITY</t>
  </si>
  <si>
    <t>67219-1410</t>
  </si>
  <si>
    <t>FWA4</t>
  </si>
  <si>
    <t>9798 Smith Road</t>
  </si>
  <si>
    <t>FORT WAYNE</t>
  </si>
  <si>
    <t>46809-9771</t>
  </si>
  <si>
    <t>QXY9</t>
  </si>
  <si>
    <t>36900 W FOURTH ST</t>
  </si>
  <si>
    <t>BEAUMONT</t>
  </si>
  <si>
    <t>FOE1</t>
  </si>
  <si>
    <t>9400 LEAVENWORTH RD</t>
  </si>
  <si>
    <t>KANSAS CITY</t>
  </si>
  <si>
    <t>66109-3665</t>
  </si>
  <si>
    <t>MCE1</t>
  </si>
  <si>
    <t>3200 Fulkerth Road</t>
  </si>
  <si>
    <t>TURLOCK</t>
  </si>
  <si>
    <t>95380-9684</t>
  </si>
  <si>
    <t>ORF2</t>
  </si>
  <si>
    <t>5045 Portsmouth Blvd</t>
  </si>
  <si>
    <t>Chesapeake</t>
  </si>
  <si>
    <t>XLX6</t>
  </si>
  <si>
    <t>12220 Carolina Logistics Drive</t>
  </si>
  <si>
    <t>PINEVILLE</t>
  </si>
  <si>
    <t>XLX7</t>
  </si>
  <si>
    <t>18580 GATEWAY DR</t>
  </si>
  <si>
    <t>VICTORVILLE</t>
  </si>
  <si>
    <t>XLX1</t>
  </si>
  <si>
    <t>1115 Wesel Blvd</t>
  </si>
  <si>
    <t>HAGERSTOWN</t>
  </si>
  <si>
    <t>21740-8126</t>
  </si>
  <si>
    <t>MDW6</t>
  </si>
  <si>
    <t xml:space="preserve"> Amazon.com Services, Inc.</t>
  </si>
  <si>
    <t>1125 W REMINGTON BLVD</t>
  </si>
  <si>
    <t>ROMEOVILLE</t>
  </si>
  <si>
    <t>60446-6529</t>
  </si>
  <si>
    <t>FTW5</t>
  </si>
  <si>
    <t>1475 AKRON WAY</t>
  </si>
  <si>
    <t>FORNEY</t>
  </si>
  <si>
    <t>75126-3566</t>
  </si>
  <si>
    <t>RYY2</t>
  </si>
  <si>
    <t>1250 Cassville White Road</t>
  </si>
  <si>
    <t>VGT2</t>
  </si>
  <si>
    <t>6401 Howdy Wells Ave</t>
  </si>
  <si>
    <t>89115-2013</t>
  </si>
  <si>
    <t>MDT4</t>
  </si>
  <si>
    <t>5125 Commerce Drive</t>
  </si>
  <si>
    <t>YORK</t>
  </si>
  <si>
    <t>CHO1</t>
  </si>
  <si>
    <t>32 TRADER RD</t>
  </si>
  <si>
    <t>FISHERSVILLE</t>
  </si>
  <si>
    <t>22939-2437</t>
  </si>
  <si>
    <t>AMA1</t>
  </si>
  <si>
    <t>8590 NE 24th Avenue</t>
  </si>
  <si>
    <t>AMARILLO</t>
  </si>
  <si>
    <t>79108-7749</t>
  </si>
  <si>
    <t>SAT6</t>
  </si>
  <si>
    <t>1346 Fortuna Road</t>
  </si>
  <si>
    <t>SAN MARCOS</t>
  </si>
  <si>
    <t>78666-0001</t>
  </si>
  <si>
    <t>MCI3</t>
  </si>
  <si>
    <t>2361 S. Withers Road</t>
  </si>
  <si>
    <t>LIBERTY</t>
  </si>
  <si>
    <t>AKR1</t>
  </si>
  <si>
    <t>4747 Rebar Ave NE</t>
  </si>
  <si>
    <t>CANTON</t>
  </si>
  <si>
    <t>BFL2</t>
  </si>
  <si>
    <t>4500 EXPRESS AVE</t>
  </si>
  <si>
    <t>SHAFTER</t>
  </si>
  <si>
    <t>93263-2246</t>
  </si>
  <si>
    <t>SWF2</t>
  </si>
  <si>
    <t>76 Patriot Way</t>
  </si>
  <si>
    <t>Hopewell Junction</t>
  </si>
  <si>
    <t>12533-6159</t>
  </si>
  <si>
    <t>ABE3</t>
  </si>
  <si>
    <t>650 Boulder Drive</t>
  </si>
  <si>
    <t>Breinigsville</t>
  </si>
  <si>
    <t>18031-1536</t>
  </si>
  <si>
    <t>ORE2</t>
  </si>
  <si>
    <t>5045 PORTSMOUTHBIVD</t>
  </si>
  <si>
    <t>CHESAPEAKE</t>
  </si>
  <si>
    <t>23321-1425</t>
  </si>
  <si>
    <t>DAL2</t>
  </si>
  <si>
    <t>2601 S. Airfield Drive</t>
  </si>
  <si>
    <t>DFW Airport</t>
  </si>
  <si>
    <t>SCK8</t>
  </si>
  <si>
    <t>4700 WILBUR AVE</t>
  </si>
  <si>
    <t>OAKLEY</t>
  </si>
  <si>
    <t>94561-2677</t>
  </si>
  <si>
    <t>RDG1</t>
  </si>
  <si>
    <t>3563 Mountain Road</t>
  </si>
  <si>
    <t>HAMBURG</t>
  </si>
  <si>
    <t>19526-7947</t>
  </si>
  <si>
    <t>MEM8</t>
  </si>
  <si>
    <t>850 GATEWAY GLOBAL DR</t>
  </si>
  <si>
    <t>38611-6040</t>
  </si>
  <si>
    <t>IAH3</t>
  </si>
  <si>
    <t>15525 Milner Road</t>
  </si>
  <si>
    <t>XIX6</t>
  </si>
  <si>
    <t>10681 Production Ave</t>
  </si>
  <si>
    <t>Fontana</t>
  </si>
  <si>
    <t>92337-8006</t>
  </si>
  <si>
    <t>CMH6</t>
  </si>
  <si>
    <t>3538 TRADEPORT CT</t>
  </si>
  <si>
    <t>LOCKBOURNE</t>
  </si>
  <si>
    <t>43137-9670</t>
  </si>
  <si>
    <t>PBI2</t>
  </si>
  <si>
    <t>14490 CORPORATE RD N</t>
  </si>
  <si>
    <t>JUPITER</t>
  </si>
  <si>
    <t>33478-6456</t>
  </si>
  <si>
    <t>RFD2</t>
  </si>
  <si>
    <t>11500 Freeman Road</t>
  </si>
  <si>
    <t>HUNTLEY</t>
  </si>
  <si>
    <t>HOU7</t>
  </si>
  <si>
    <t>16225 TOMBALL PKWY，BLDG A</t>
  </si>
  <si>
    <t>77064-1111</t>
  </si>
  <si>
    <t>AZA4</t>
  </si>
  <si>
    <t>3333 S 59TH AVE</t>
  </si>
  <si>
    <t>85043-7904</t>
  </si>
  <si>
    <t>RDU2</t>
  </si>
  <si>
    <t>2150 US HWY 70 Business West</t>
  </si>
  <si>
    <t>SMITHFIELD</t>
  </si>
  <si>
    <t>CLT6</t>
  </si>
  <si>
    <t>28134-9457</t>
  </si>
  <si>
    <t>PDX6</t>
  </si>
  <si>
    <t>15000 N. Lombard St</t>
  </si>
  <si>
    <t>Portland</t>
  </si>
  <si>
    <t>97203-6814</t>
  </si>
  <si>
    <t>RMN3</t>
  </si>
  <si>
    <t>220 Centreport Parkway</t>
  </si>
  <si>
    <t>FREDERICKSBURG</t>
  </si>
  <si>
    <t>TTN2</t>
  </si>
  <si>
    <t>343 HALF ACRE RD</t>
  </si>
  <si>
    <t>CRANBURY</t>
  </si>
  <si>
    <t>08512-3253</t>
  </si>
  <si>
    <t>AFW1</t>
  </si>
  <si>
    <t>76131-1694</t>
  </si>
  <si>
    <t xml:space="preserve">1851 NE LOOP 820 </t>
  </si>
  <si>
    <t>SCK3</t>
  </si>
  <si>
    <t>3565 N AIRPORT WAY</t>
  </si>
  <si>
    <t>MANTECA</t>
  </si>
  <si>
    <t>95336-8696</t>
  </si>
  <si>
    <t>HSV2</t>
  </si>
  <si>
    <t>88888888</t>
  </si>
  <si>
    <t>28869 Fanning Dr NW</t>
  </si>
  <si>
    <t>35756</t>
  </si>
  <si>
    <t>RFD4</t>
  </si>
  <si>
    <t>11400 Venture Court</t>
  </si>
  <si>
    <t>60142</t>
  </si>
  <si>
    <t>PSC2</t>
  </si>
  <si>
    <t>1351 S Road 40 E</t>
  </si>
  <si>
    <t>PASCO</t>
  </si>
  <si>
    <t>99301</t>
  </si>
  <si>
    <t>ABQ2</t>
  </si>
  <si>
    <t>6251 Pioneer Trail NW</t>
  </si>
  <si>
    <t>LOS LUNAS</t>
  </si>
  <si>
    <t>NM</t>
  </si>
  <si>
    <t>87031</t>
  </si>
  <si>
    <t>RDU4</t>
  </si>
  <si>
    <t>888888</t>
  </si>
  <si>
    <t>6309 Bragg Blvd</t>
  </si>
  <si>
    <t>FAYETTEVILLE</t>
  </si>
  <si>
    <t>28303</t>
  </si>
  <si>
    <t>IUSJ</t>
  </si>
  <si>
    <t>36900 West 4th Street</t>
  </si>
  <si>
    <t>92223</t>
  </si>
  <si>
    <t>MDW8</t>
  </si>
  <si>
    <t>1750 Bridge Drive</t>
  </si>
  <si>
    <t>Waukegan</t>
  </si>
  <si>
    <t>60085</t>
  </si>
  <si>
    <t>IUSL</t>
  </si>
  <si>
    <t>600 PRINCIPIO PKWY W</t>
  </si>
  <si>
    <t>NORTH EAST</t>
  </si>
  <si>
    <t>BDL6</t>
  </si>
  <si>
    <t>120 County Line Drive</t>
  </si>
  <si>
    <t>CROMWELL</t>
  </si>
  <si>
    <t>06416-1186</t>
  </si>
  <si>
    <t>CMH7</t>
  </si>
  <si>
    <t>1245 BEECH RD SW</t>
  </si>
  <si>
    <t>NEW ALBANY</t>
  </si>
  <si>
    <t>43054-7762</t>
  </si>
  <si>
    <t>BNA6</t>
  </si>
  <si>
    <t>3875 GUTHRIE HWY</t>
  </si>
  <si>
    <t>CLARKSVILLE</t>
  </si>
  <si>
    <t>37040-5502</t>
  </si>
  <si>
    <t>LAN2</t>
  </si>
  <si>
    <t>6500 W Mt Hope Hwy</t>
  </si>
  <si>
    <t>LANSING</t>
  </si>
  <si>
    <t>48917</t>
  </si>
  <si>
    <t>LBE1</t>
  </si>
  <si>
    <t>165 GLENN FOX RD</t>
  </si>
  <si>
    <t>NEW STANTON</t>
  </si>
  <si>
    <t>15672-9703</t>
  </si>
  <si>
    <t>TMB8</t>
  </si>
  <si>
    <t>27505 SW 132nd AVE</t>
  </si>
  <si>
    <t>HOMESTEAD</t>
  </si>
  <si>
    <t>33032-8597</t>
  </si>
  <si>
    <t>WBW2</t>
  </si>
  <si>
    <t>1300 Corporate Way</t>
  </si>
  <si>
    <t>OLYPHANT</t>
  </si>
  <si>
    <t>18447</t>
  </si>
  <si>
    <t>IUSQ</t>
  </si>
  <si>
    <t>2125 W San Bernardino Ave</t>
  </si>
  <si>
    <t>92374</t>
  </si>
  <si>
    <t>PBI3</t>
  </si>
  <si>
    <t>7600 LTC Parkway</t>
  </si>
  <si>
    <t>PORT SAINT LUCIE</t>
  </si>
  <si>
    <t>34986</t>
  </si>
  <si>
    <t>IUSP</t>
  </si>
  <si>
    <t>8140 Caliente Rd</t>
  </si>
  <si>
    <t>HESPERIA</t>
  </si>
  <si>
    <t>HIA1</t>
  </si>
  <si>
    <t>3327 E Harrisburg Pik 17057</t>
  </si>
  <si>
    <t>MIDDLETOWN</t>
  </si>
  <si>
    <t>HGR6</t>
  </si>
  <si>
    <t>55 West Oak Ridge Drive</t>
  </si>
  <si>
    <t>21740-7301</t>
  </si>
  <si>
    <t>LGB9</t>
  </si>
  <si>
    <t>4375 N Perris Blvd</t>
  </si>
  <si>
    <t>92571-7901</t>
  </si>
  <si>
    <t>MIT2</t>
  </si>
  <si>
    <t>5408 Express Avenue</t>
  </si>
  <si>
    <t>GEU3</t>
  </si>
  <si>
    <t>18900 W McDowell Road</t>
  </si>
  <si>
    <t>BUCKEYE</t>
  </si>
  <si>
    <t>SDF4</t>
  </si>
  <si>
    <t>376 Zappos.com Blvd</t>
  </si>
  <si>
    <t>Shepherdsville</t>
  </si>
  <si>
    <t>40165-8556</t>
  </si>
  <si>
    <t>BFI9</t>
  </si>
  <si>
    <t>3230 INTERNATIONAL PL</t>
  </si>
  <si>
    <t>98327-7707</t>
  </si>
  <si>
    <t>XLG1</t>
  </si>
  <si>
    <t>1901 California St</t>
  </si>
  <si>
    <t>QXY5</t>
  </si>
  <si>
    <t>JOT1</t>
  </si>
  <si>
    <t>SMF7</t>
  </si>
  <si>
    <t>4800 Midway Road</t>
  </si>
  <si>
    <t>VACAVILL</t>
  </si>
  <si>
    <t>95688-9626</t>
  </si>
  <si>
    <t>IUSF</t>
  </si>
  <si>
    <t>3351 Balmorhea Dr</t>
  </si>
  <si>
    <t>GEU5</t>
  </si>
  <si>
    <t>4660 North Cotton Lane</t>
  </si>
  <si>
    <t>BNA1</t>
  </si>
  <si>
    <t>1281 Couchville Pike Mount</t>
  </si>
  <si>
    <t>Mount Juliet</t>
  </si>
  <si>
    <t>AVP2</t>
  </si>
  <si>
    <t>37 Archbald Heights Road</t>
  </si>
  <si>
    <t>Jessup</t>
  </si>
  <si>
    <t>CFC1</t>
  </si>
  <si>
    <t>1-317-539-8531</t>
  </si>
  <si>
    <t>1974 Innovation Blvd</t>
  </si>
  <si>
    <t>Clayton</t>
  </si>
  <si>
    <t>CLT1</t>
  </si>
  <si>
    <t>255 Front Creek Road</t>
  </si>
  <si>
    <t>Salisbury</t>
  </si>
  <si>
    <t>DAY1</t>
  </si>
  <si>
    <t>1-833-834-4631</t>
  </si>
  <si>
    <t>3280 Lightner Road</t>
  </si>
  <si>
    <t>Dayton</t>
  </si>
  <si>
    <t>DFW1</t>
  </si>
  <si>
    <t>1-469-554-7799</t>
  </si>
  <si>
    <t>7243 Grady Niblo Road</t>
  </si>
  <si>
    <t>Dallas</t>
  </si>
  <si>
    <t>MCI1</t>
  </si>
  <si>
    <t>15999 S Outer Road</t>
  </si>
  <si>
    <t>Belton</t>
  </si>
  <si>
    <t>PHX1</t>
  </si>
  <si>
    <t>1-844-439-8760</t>
  </si>
  <si>
    <t>255 South 143rd Avenue</t>
  </si>
  <si>
    <t>POC3</t>
  </si>
  <si>
    <t>6120 Clinker Drive</t>
  </si>
  <si>
    <t>Jurupa Valley</t>
  </si>
  <si>
    <t>GEU2</t>
  </si>
  <si>
    <t>15301 W Northern Ave</t>
  </si>
  <si>
    <t>Litchfield Park</t>
  </si>
  <si>
    <t>POC1</t>
  </si>
  <si>
    <t>4121 LYTLE CREEK RD</t>
  </si>
  <si>
    <t>POC2</t>
  </si>
  <si>
    <t>4000 South Hamner Ave</t>
  </si>
  <si>
    <t>Ontario</t>
  </si>
  <si>
    <t>TCY1</t>
  </si>
  <si>
    <t>2690 East Arch Airport Road</t>
  </si>
  <si>
    <t>San Joaquin</t>
  </si>
  <si>
    <t>HLI2</t>
  </si>
  <si>
    <t>600 Ernie Drive</t>
  </si>
  <si>
    <t>Hollister</t>
  </si>
  <si>
    <t>TCY2</t>
  </si>
  <si>
    <t>6201 Newcastle Rd</t>
  </si>
  <si>
    <t>PPO4</t>
  </si>
  <si>
    <t>9850 Mississippi Street</t>
  </si>
  <si>
    <t>MERRILLVILLE</t>
  </si>
  <si>
    <t>RNO1</t>
  </si>
  <si>
    <t>8001 N Virginia St</t>
  </si>
  <si>
    <t>TMB8-2</t>
  </si>
  <si>
    <t>8675309 Jenny Lane</t>
  </si>
  <si>
    <t>Miami Gardens</t>
  </si>
  <si>
    <t>XAV3</t>
  </si>
  <si>
    <t>120 Crossgate Dr Port</t>
  </si>
  <si>
    <t>Wentworth</t>
  </si>
  <si>
    <t>XRI3</t>
  </si>
  <si>
    <t>WMT-LAX1</t>
  </si>
  <si>
    <t>Walmart Fulfillment Service</t>
  </si>
  <si>
    <t>6750 Kimball Ave Chino</t>
  </si>
  <si>
    <t>Chino</t>
  </si>
  <si>
    <t>WMT-LAX2</t>
  </si>
  <si>
    <t>6720 KIMBALL AVE</t>
  </si>
  <si>
    <t>CHINO</t>
  </si>
  <si>
    <t>WMT-SMF1</t>
  </si>
  <si>
    <t>7000 Powerline Rd</t>
  </si>
  <si>
    <t>WMT-PHX1</t>
  </si>
  <si>
    <t>6600 North Sarival Avenue</t>
  </si>
  <si>
    <t xml:space="preserve">AZ </t>
  </si>
  <si>
    <t>WMT-KY1</t>
  </si>
  <si>
    <t>120 Velocity Way</t>
  </si>
  <si>
    <t>WMT-KS1</t>
  </si>
  <si>
    <t>WALMART 30801 W 191ST</t>
  </si>
  <si>
    <t>WMT-NJ3</t>
  </si>
  <si>
    <t>WALMART 3 Sorbello Way</t>
  </si>
  <si>
    <t>Pedricktown</t>
  </si>
  <si>
    <t>08067</t>
  </si>
  <si>
    <t>CA-YYC6</t>
  </si>
  <si>
    <t>9705 68 ST SE</t>
  </si>
  <si>
    <t>T2C 5V8</t>
  </si>
  <si>
    <t>CA-YDC5</t>
  </si>
  <si>
    <t>6351 STEELES AVEE</t>
  </si>
  <si>
    <t>SCARBOROUGH</t>
  </si>
  <si>
    <t>M1X1N5</t>
  </si>
  <si>
    <t>IND3</t>
  </si>
  <si>
    <t>715 Airtech Pkwy Suite 195</t>
  </si>
  <si>
    <t>PLAINFIELD</t>
  </si>
  <si>
    <t>DTW3</t>
  </si>
  <si>
    <t>33701 PRESCOTT ST</t>
  </si>
  <si>
    <t>PIT1</t>
  </si>
  <si>
    <t>2730 Sidney St bldg 2</t>
  </si>
  <si>
    <t>Pittsburgh</t>
  </si>
  <si>
    <t>LAN2-2</t>
  </si>
  <si>
    <t>via 5801 Clyde Park Ave SW</t>
  </si>
  <si>
    <t>Wyoming</t>
  </si>
  <si>
    <t>HGR2</t>
  </si>
  <si>
    <t>1115 WESEL BLVD</t>
  </si>
  <si>
    <t>AVP9</t>
  </si>
  <si>
    <t>45 VALLEY VIEW DR</t>
  </si>
  <si>
    <t>JESSUP</t>
  </si>
  <si>
    <t>18434-1153</t>
  </si>
  <si>
    <t>PHL3</t>
  </si>
  <si>
    <t>1600 Johnson Way</t>
  </si>
  <si>
    <t>New Castle</t>
  </si>
  <si>
    <t>MSP6</t>
  </si>
  <si>
    <t>9800 217TH ST W</t>
  </si>
  <si>
    <t>LAKEVILLE</t>
  </si>
  <si>
    <t>55044-5076</t>
  </si>
  <si>
    <t>CA-YGK1</t>
  </si>
  <si>
    <t>640 College St E,Belleville,ON K8N0V2</t>
  </si>
  <si>
    <t>Belleville</t>
  </si>
  <si>
    <t>K8N 0V2</t>
  </si>
  <si>
    <t>XPB2</t>
  </si>
  <si>
    <t>4661 Apopka Logistics Pkwy</t>
  </si>
  <si>
    <t>Apopka</t>
  </si>
  <si>
    <t>IUTI</t>
  </si>
  <si>
    <t>92374-5015</t>
  </si>
  <si>
    <t>PBI3-32206</t>
  </si>
  <si>
    <t>21 Jump Street</t>
  </si>
  <si>
    <t>XEW5</t>
  </si>
  <si>
    <t>995 Taylors Ln</t>
  </si>
  <si>
    <t>Cinnaminson</t>
  </si>
  <si>
    <t>08077-2015</t>
  </si>
  <si>
    <t>PPO4-46307</t>
  </si>
  <si>
    <t>Crown Point</t>
  </si>
  <si>
    <t>PPO4-46410</t>
  </si>
  <si>
    <t>SLC3</t>
  </si>
  <si>
    <t>355 N JOHN GLENN RD</t>
  </si>
  <si>
    <t>SALT LAKE CITY</t>
  </si>
  <si>
    <t>BFI7</t>
  </si>
  <si>
    <t>1901 140th Ave E</t>
  </si>
  <si>
    <t>SUMNER</t>
  </si>
  <si>
    <t>QXY8</t>
  </si>
  <si>
    <t>3611 S NORTHPOINTE DR</t>
  </si>
  <si>
    <t>IUST</t>
  </si>
  <si>
    <t>15651 Greenmount Rd</t>
  </si>
  <si>
    <t>Greencastle</t>
  </si>
  <si>
    <t>HEA2</t>
  </si>
  <si>
    <t>650 BOULDER DR Suite A</t>
  </si>
  <si>
    <t>IUTH</t>
  </si>
  <si>
    <t>1346 Fortuna Rd</t>
  </si>
  <si>
    <t>IUTF</t>
  </si>
  <si>
    <t>4375 North Perris Boulevard</t>
  </si>
  <si>
    <t>Perris</t>
  </si>
  <si>
    <t>IUSW</t>
  </si>
  <si>
    <t>8130 Caliente Rd</t>
  </si>
  <si>
    <t>Hesperia</t>
  </si>
  <si>
    <t>IUTE</t>
  </si>
  <si>
    <t>16155 W Elwood St</t>
  </si>
  <si>
    <t>MCC1</t>
  </si>
  <si>
    <t>3300 Rancho Cordova Pkwy</t>
  </si>
  <si>
    <t>RANCHO CORDOVA</t>
  </si>
  <si>
    <t>XMD4</t>
  </si>
  <si>
    <t>3P FC (Kenosha, WI, US),6222 77th Ave</t>
  </si>
  <si>
    <t>Kenosha</t>
  </si>
  <si>
    <t>WMT-ATL1</t>
  </si>
  <si>
    <t>6055 S Fulton Pkwy</t>
  </si>
  <si>
    <t>Atlanta,</t>
  </si>
  <si>
    <t>30349</t>
  </si>
  <si>
    <t>WMT-MCl1n</t>
  </si>
  <si>
    <t>WMT-MCL1N</t>
  </si>
  <si>
    <t>1303 Sw Innovation Pkway</t>
  </si>
  <si>
    <t>Topeka</t>
  </si>
  <si>
    <t>Ks</t>
  </si>
  <si>
    <t>66619</t>
  </si>
  <si>
    <t>WMT-PHL4n</t>
  </si>
  <si>
    <t>WMT-PHL4N</t>
  </si>
  <si>
    <t>1410 United Dr</t>
  </si>
  <si>
    <t>Shippensburg</t>
  </si>
  <si>
    <t>17257</t>
  </si>
  <si>
    <t>WMT-IND2n</t>
  </si>
  <si>
    <t>WMT-IND2N</t>
  </si>
  <si>
    <t>9360 AllPoints Pkwy. Suite 107</t>
  </si>
  <si>
    <t>46168</t>
  </si>
  <si>
    <t>WMT-IND2T</t>
  </si>
  <si>
    <t>9360 AllPoints Pkwy. Suite 162</t>
  </si>
  <si>
    <t>WMT-LAX2T</t>
  </si>
  <si>
    <t>6730 Kimball Ave</t>
  </si>
  <si>
    <t>91708</t>
  </si>
  <si>
    <t>WMT-DFW2N</t>
  </si>
  <si>
    <t>15101 N Beach ST</t>
  </si>
  <si>
    <t>76177</t>
  </si>
  <si>
    <t>BDL4</t>
  </si>
  <si>
    <t>1215 Kennedy Rd</t>
  </si>
  <si>
    <t>Windsor</t>
  </si>
  <si>
    <t>06095</t>
  </si>
  <si>
    <t>IUSR</t>
  </si>
  <si>
    <t>1120 Mt Olive Rd</t>
  </si>
  <si>
    <t>COWPENS</t>
  </si>
  <si>
    <t>PSP3</t>
  </si>
  <si>
    <t>64165 19th AVE</t>
  </si>
  <si>
    <t>DESERTHOT SPRINGS</t>
  </si>
  <si>
    <t>AFW5</t>
  </si>
  <si>
    <t>12374 LAKEJUNERD</t>
  </si>
  <si>
    <t>BALCH SPRINGS</t>
  </si>
  <si>
    <t>75180-1636</t>
  </si>
  <si>
    <t>MLB1</t>
  </si>
  <si>
    <t>3655 Grissom Pkwy</t>
  </si>
  <si>
    <t>Cocoa</t>
  </si>
  <si>
    <t>WMT-ATL3</t>
  </si>
  <si>
    <t>445 Valentine Industrial Parkway</t>
  </si>
  <si>
    <t>Pendergrass</t>
  </si>
  <si>
    <t>WMT-MCO1</t>
  </si>
  <si>
    <t>5100 NORTH RIDGE TRAIL</t>
  </si>
  <si>
    <t>Davenport</t>
  </si>
  <si>
    <t>WMT-NJ3T</t>
  </si>
  <si>
    <t>7 Sorbello Rd</t>
  </si>
  <si>
    <t>WMT-PHL5s</t>
  </si>
  <si>
    <t>1915 Ebberts Spg Ct</t>
  </si>
  <si>
    <t>17225</t>
  </si>
  <si>
    <t>WMT-DFW6s</t>
  </si>
  <si>
    <t>14700 Blue Mound Rd</t>
  </si>
  <si>
    <t>WMT-ORD1s</t>
  </si>
  <si>
    <t>3501 Brandon Road</t>
  </si>
  <si>
    <t>Joliet</t>
  </si>
  <si>
    <t>L1S 0A1</t>
  </si>
  <si>
    <t>221 Church St S</t>
  </si>
  <si>
    <t>WMT-MCI1n</t>
  </si>
  <si>
    <t>WMT-PHL1s</t>
  </si>
  <si>
    <t>3215 Commerce Center Blvd</t>
  </si>
  <si>
    <t>Bethlehem</t>
  </si>
  <si>
    <t>WMT-IND3</t>
  </si>
  <si>
    <t>5756 Enterprise Dr</t>
  </si>
  <si>
    <t>Mccordsville</t>
  </si>
  <si>
    <t>WMT-SLC1N</t>
  </si>
  <si>
    <t>990 N 6550 W</t>
  </si>
  <si>
    <t>WMT-DFW5s</t>
  </si>
  <si>
    <t>2500 E Belt Line Rd</t>
  </si>
  <si>
    <t>Lancaster</t>
  </si>
  <si>
    <t>POC2-91761</t>
  </si>
  <si>
    <t>4000 S PRIME PASEO</t>
  </si>
  <si>
    <t>PSP3-92518</t>
  </si>
  <si>
    <t>20821 Krameria Avenue</t>
  </si>
  <si>
    <t>March Air Reserve Base</t>
  </si>
  <si>
    <t>WMT-BNA1n</t>
  </si>
  <si>
    <t>1015 Hixson Blvd</t>
  </si>
  <si>
    <t>PBI3-34986</t>
  </si>
  <si>
    <t>TOL3</t>
  </si>
  <si>
    <t>9240 Fremont Pike</t>
  </si>
  <si>
    <t>PERRYSBURG</t>
  </si>
  <si>
    <t>CA-XYY1-1</t>
  </si>
  <si>
    <t>271 Church Street s</t>
  </si>
  <si>
    <t>L1S 0J2</t>
  </si>
  <si>
    <t>CA-XCAB</t>
  </si>
  <si>
    <t>1882 118 Avenue NE</t>
  </si>
  <si>
    <t>T3K 0R1</t>
  </si>
  <si>
    <t>WMT-PHL2</t>
  </si>
  <si>
    <t>2785 Commerce Center Blvd</t>
  </si>
  <si>
    <t>WMT-PHL2n</t>
  </si>
  <si>
    <t>SHEIN-LAX1_W1_2</t>
  </si>
  <si>
    <t>希音-樱桃谷发货仓</t>
  </si>
  <si>
    <t>CALIFORNIA Beaumont 36312,cherry Valley Boulevard</t>
  </si>
  <si>
    <t>Beaumont</t>
  </si>
  <si>
    <t>SHEIN-LAX1_W1_1</t>
  </si>
  <si>
    <t>SHEIN-EWR3_W2_1</t>
  </si>
  <si>
    <t>希音-新泽西京东仓</t>
  </si>
  <si>
    <t>4259 US Highway 130</t>
  </si>
  <si>
    <t>Edgewater Park</t>
  </si>
  <si>
    <t>08010</t>
  </si>
  <si>
    <t>SHEIN-EWR2_W1_1</t>
  </si>
  <si>
    <t>希音-新泽西谷仓</t>
  </si>
  <si>
    <t>500 Ben Fairless Dr</t>
  </si>
  <si>
    <t>Fairless Hills</t>
  </si>
  <si>
    <t>SHEIN-IND1_W1_1</t>
  </si>
  <si>
    <t>希音-印第安纳仓</t>
  </si>
  <si>
    <t>Building 4，5400 E.500 S</t>
  </si>
  <si>
    <t>Whitestown</t>
  </si>
  <si>
    <t>Wyfair-08512</t>
  </si>
  <si>
    <t>Wayfair Warehouse</t>
  </si>
  <si>
    <t>48 Station Road</t>
  </si>
  <si>
    <t>08512</t>
  </si>
  <si>
    <t>Wyfair-92571</t>
  </si>
  <si>
    <t>3300 Indian Ave</t>
  </si>
  <si>
    <t>Wyfair-07064</t>
  </si>
  <si>
    <t>1001 W Middlesex Ave</t>
  </si>
  <si>
    <t>Port Reading</t>
  </si>
  <si>
    <t>07064</t>
  </si>
  <si>
    <t>Wyfair-30046</t>
  </si>
  <si>
    <t>975 Old Norcross Rd</t>
  </si>
  <si>
    <t>Lawrenceville</t>
  </si>
  <si>
    <t>Wyfair-30518</t>
  </si>
  <si>
    <t>2105 Buford Highway</t>
  </si>
  <si>
    <t>Buford</t>
  </si>
  <si>
    <t>Wyfair-CITRUS</t>
  </si>
  <si>
    <t>11281 CITRUS AVE</t>
  </si>
  <si>
    <t>Wyfair-Jurupa</t>
  </si>
  <si>
    <t>13052 Jurupa Ave</t>
  </si>
  <si>
    <t>Wyfair-77494</t>
  </si>
  <si>
    <t>28501 Hwy Blvd</t>
  </si>
  <si>
    <t>Katy</t>
  </si>
  <si>
    <t xml:space="preserve">TX </t>
  </si>
  <si>
    <t>MXRC02</t>
  </si>
  <si>
    <t>Mercado-MXRC02</t>
  </si>
  <si>
    <t>Pral. Av, de la industria SN, Las Animas 6, SN</t>
  </si>
  <si>
    <t>Topatzcllan</t>
  </si>
  <si>
    <t>Estado De méxico</t>
  </si>
  <si>
    <t>MX</t>
  </si>
  <si>
    <t>MXRC03</t>
  </si>
  <si>
    <t>Mercado-MXRC03</t>
  </si>
  <si>
    <t>Vialidad Cola de Caballo S/N</t>
  </si>
  <si>
    <t>Rancho Nuevo la Virgen</t>
  </si>
  <si>
    <t>Cuautitlan</t>
  </si>
  <si>
    <t>MXCD05</t>
  </si>
  <si>
    <t>Mercado-MXRC05</t>
  </si>
  <si>
    <t>Av. Lic. Arturo Montiel Rojas</t>
  </si>
  <si>
    <t>entre esquina el terremolo y hacienda las arboledas S/N, San Juan</t>
  </si>
  <si>
    <t>MXCD06</t>
  </si>
  <si>
    <t>Mercado-MXCD06</t>
  </si>
  <si>
    <t>Carretera Cuautitlan -Tultepec lote B no. 2 y lote C 1</t>
  </si>
  <si>
    <t>Colonia Terremoto</t>
  </si>
  <si>
    <t>MEX1</t>
  </si>
  <si>
    <t>Amazon MEX1</t>
  </si>
  <si>
    <t>Cuautitlán Izcalli</t>
  </si>
  <si>
    <t>MEX2</t>
  </si>
  <si>
    <t>Amazon MEX2</t>
  </si>
  <si>
    <t>MEX3</t>
  </si>
  <si>
    <t>Amazon MEX3</t>
  </si>
  <si>
    <t>MEX3 Prologis Park Grande Libramiento Norte No. 87 Lote A</t>
  </si>
  <si>
    <t>Tepotzotlan</t>
  </si>
  <si>
    <t>MEX6</t>
  </si>
  <si>
    <t>Amazon MEX6</t>
  </si>
  <si>
    <t>Camino a XOYOACAC，Fracc B Nav Jerusalem</t>
  </si>
  <si>
    <t>BJX1</t>
  </si>
  <si>
    <t>Amazon BJX1</t>
  </si>
  <si>
    <t>Calle Oliver Evans number 107 Carretera a Santa Ana del Conde, Km 4.5</t>
  </si>
  <si>
    <t>Parque Industrial Bajío (PILBA)</t>
  </si>
  <si>
    <t>León</t>
  </si>
  <si>
    <t>Guanajuato</t>
  </si>
  <si>
    <t>MTY1</t>
  </si>
  <si>
    <t>Amazon MTY1</t>
  </si>
  <si>
    <r>
      <rPr>
        <sz val="10"/>
        <color theme="1"/>
        <rFont val="微软雅黑"/>
        <charset val="134"/>
      </rPr>
      <t xml:space="preserve">Boulevard Guadalupe #403 </t>
    </r>
    <r>
      <rPr>
        <b/>
        <sz val="9"/>
        <color rgb="FF000000"/>
        <rFont val="微软雅黑"/>
        <charset val="134"/>
      </rPr>
      <t>Interior B012</t>
    </r>
  </si>
  <si>
    <t>APODACA</t>
  </si>
  <si>
    <t>NUEVO LEON</t>
  </si>
  <si>
    <t>FC11_ONT5</t>
  </si>
  <si>
    <t>tiktop shop</t>
  </si>
  <si>
    <t>1979 Renaissance Pkwy</t>
  </si>
  <si>
    <t>FC09_ATL2</t>
  </si>
  <si>
    <t>FC12_HOU3</t>
  </si>
  <si>
    <t>13650 Pike Rd, Bldg 1</t>
  </si>
  <si>
    <t>Stafford</t>
  </si>
  <si>
    <t>FC01_ONT2</t>
  </si>
  <si>
    <t>1420 tamarind Ave</t>
  </si>
  <si>
    <t>92376</t>
  </si>
  <si>
    <t>FC02_ORD1</t>
  </si>
  <si>
    <t>515 Kehoe Blvd</t>
  </si>
  <si>
    <t>Carol Stream</t>
  </si>
  <si>
    <t>60188</t>
  </si>
  <si>
    <t>FC03_ATL1</t>
  </si>
  <si>
    <t>4375 S Lee St</t>
  </si>
  <si>
    <t>30518</t>
  </si>
  <si>
    <t>FC04_EWR2</t>
  </si>
  <si>
    <t>245 Mountain Ave</t>
  </si>
  <si>
    <t>Middlesex</t>
  </si>
  <si>
    <t>08846</t>
  </si>
  <si>
    <t>FC05_HOU1</t>
  </si>
  <si>
    <t>5880 W Fuqua, Suite #200</t>
  </si>
  <si>
    <t>77085</t>
  </si>
  <si>
    <t>FC06_HOU2</t>
  </si>
  <si>
    <t>619 E Sam Houston Pkwy S</t>
  </si>
  <si>
    <t>Pasadena</t>
  </si>
  <si>
    <t>77503</t>
  </si>
  <si>
    <t>FC07_ONT3</t>
  </si>
  <si>
    <t>10886 Citrus Ave</t>
  </si>
  <si>
    <t>92337</t>
  </si>
  <si>
    <t>FC08_ONT4</t>
  </si>
  <si>
    <t>11618 mulberry avenue</t>
  </si>
  <si>
    <t>FC10_ORD2</t>
  </si>
  <si>
    <t>100 W. Compass Boulevard</t>
  </si>
  <si>
    <t>60436</t>
  </si>
  <si>
    <t>FC13_EWR3</t>
  </si>
  <si>
    <t>400 Fairway Ln</t>
  </si>
  <si>
    <t>Old Bridge</t>
  </si>
  <si>
    <t>08857</t>
  </si>
  <si>
    <t>FC14_EWR4</t>
  </si>
  <si>
    <t>1001 W Middlesex Ave</t>
  </si>
  <si>
    <t>Port Reading</t>
  </si>
  <si>
    <t>FC15_SEA1</t>
  </si>
  <si>
    <t>14801 Spring Street SW,Suite B</t>
  </si>
  <si>
    <t>Lakewood</t>
  </si>
  <si>
    <t>98439</t>
  </si>
  <si>
    <t>FC16_ORD3</t>
  </si>
  <si>
    <t>160 Southcreek Pkwy</t>
  </si>
  <si>
    <t>Romeoville</t>
  </si>
  <si>
    <t>60446</t>
  </si>
  <si>
    <t>BJC1</t>
  </si>
  <si>
    <t>Amazon BJC1</t>
  </si>
  <si>
    <t>6300 N Powhaton Rd</t>
  </si>
  <si>
    <t>XIN5</t>
  </si>
  <si>
    <t>Amazon XIN5</t>
  </si>
  <si>
    <t>8838 E County Rd 100 S</t>
  </si>
  <si>
    <t>Avon</t>
  </si>
  <si>
    <t>MCI4</t>
  </si>
  <si>
    <t>10501 NW 136th Street</t>
  </si>
  <si>
    <t>QZZ7-85212</t>
  </si>
  <si>
    <t>8560 E ELLIOT RD</t>
  </si>
  <si>
    <t>MESA</t>
  </si>
  <si>
    <t>85212-9608</t>
  </si>
  <si>
    <t>GDL1</t>
  </si>
  <si>
    <t>Amazon GDL1</t>
  </si>
  <si>
    <t>GDL1-Guadalajara-Chapala Highway #9999</t>
  </si>
  <si>
    <t>Building 5</t>
  </si>
  <si>
    <t>Zapote del Valle</t>
  </si>
  <si>
    <t>JALISCO</t>
  </si>
  <si>
    <t>XD01_ONT1</t>
  </si>
  <si>
    <t>Fulfilled by Tiktok(CA)</t>
  </si>
  <si>
    <t xml:space="preserve">4560 Hamner Ave </t>
  </si>
  <si>
    <t>91752</t>
  </si>
  <si>
    <t>FC17_CVG1</t>
  </si>
  <si>
    <t>Fulfilled by Tiktok</t>
  </si>
  <si>
    <t>7050 New Buffington Road</t>
  </si>
  <si>
    <t>41042</t>
  </si>
  <si>
    <t>INC1</t>
  </si>
  <si>
    <t>Amazon.com Services LLC</t>
  </si>
  <si>
    <t>28303-2215</t>
  </si>
  <si>
    <t>IMI1</t>
  </si>
  <si>
    <t>48917-8539</t>
  </si>
  <si>
    <t>IMS1</t>
  </si>
  <si>
    <t>IWA6</t>
  </si>
  <si>
    <t>1202 S Road 40 E</t>
  </si>
  <si>
    <t>99301-6161</t>
  </si>
  <si>
    <t>ITX3</t>
  </si>
  <si>
    <t>8590 NE 24th Ave</t>
  </si>
  <si>
    <t>IAZ1</t>
  </si>
  <si>
    <t>4660 N COTTON LN</t>
  </si>
  <si>
    <t>85395-4515</t>
  </si>
  <si>
    <t>IGA3</t>
  </si>
  <si>
    <t>MACON</t>
  </si>
  <si>
    <t>IMO1</t>
  </si>
  <si>
    <t>2361 S Withers RD</t>
  </si>
  <si>
    <t>64068-8933</t>
  </si>
  <si>
    <t>CA-XYY4</t>
  </si>
  <si>
    <t>3P FC10725 Louis St Laurent Ave</t>
  </si>
  <si>
    <t>L9E 0E9</t>
  </si>
  <si>
    <t>渠道名称（选择以下服务复制到服务去才可下单）</t>
  </si>
  <si>
    <t>中欧快铁B</t>
  </si>
  <si>
    <t>中欧快铁卡派B</t>
  </si>
  <si>
    <t>中欧快铁递延</t>
  </si>
  <si>
    <t>中欧快铁卡派自税递延</t>
  </si>
  <si>
    <t>中英快铁自税不递延</t>
  </si>
  <si>
    <t>中英快铁自税递延</t>
  </si>
  <si>
    <t>中英快铁B</t>
  </si>
  <si>
    <t>中英快铁卡派B</t>
  </si>
  <si>
    <t>中英快铁自税不递延-卡派</t>
  </si>
  <si>
    <t>欧洲超大件-铁路</t>
  </si>
  <si>
    <t>欧洲超大件-海运</t>
  </si>
  <si>
    <t>欧洲卡航B</t>
  </si>
  <si>
    <t>欧洲卡航-卡派B</t>
  </si>
  <si>
    <t>欧洲卡航自税递延</t>
  </si>
  <si>
    <t>欧洲卡航递延-卡派</t>
  </si>
  <si>
    <t>欧洲铁路B</t>
  </si>
  <si>
    <t>欧洲铁路卡派B</t>
  </si>
  <si>
    <t>欧洲铁路自税递延</t>
  </si>
  <si>
    <t>欧洲铁路卡派自税递延</t>
  </si>
  <si>
    <t>欧洲海运-普船B</t>
  </si>
  <si>
    <t>欧洲海运普船-卡派B</t>
  </si>
  <si>
    <t>欧洲海运自税递延-普船</t>
  </si>
  <si>
    <t>欧洲海运自税递延卡派-普船</t>
  </si>
  <si>
    <t>欧洲海运-快船B</t>
  </si>
  <si>
    <t>欧洲海运自税递延-快船</t>
  </si>
  <si>
    <t>欧洲海运自税递延卡派-快船</t>
  </si>
  <si>
    <t>欧洲海运快船-卡派B</t>
  </si>
  <si>
    <t>一件代发专线-铁路</t>
  </si>
  <si>
    <t>一件代发专线-铁路递延</t>
  </si>
  <si>
    <t>一件代发专线-海运</t>
  </si>
  <si>
    <t>一件代发专线-海运递延</t>
  </si>
  <si>
    <t>罗马尼亚专线-铁路</t>
  </si>
  <si>
    <t>罗马尼亚专线-海运</t>
  </si>
  <si>
    <t>罗马尼亚专线-卡航</t>
  </si>
  <si>
    <t>英国卡航自税不递延</t>
  </si>
  <si>
    <t>英国卡航自税递延</t>
  </si>
  <si>
    <t>英国卡航B</t>
  </si>
  <si>
    <t>英国卡航卡派-B</t>
  </si>
  <si>
    <t>英国卡航递延-卡派</t>
  </si>
  <si>
    <t>英国卡航自税不递延-卡派</t>
  </si>
  <si>
    <t>英国铁路B</t>
  </si>
  <si>
    <t>英国铁路自税不递延</t>
  </si>
  <si>
    <t>英国铁路自税递延</t>
  </si>
  <si>
    <t>英国铁路卡派-B</t>
  </si>
  <si>
    <t>英国铁路自税不递延-卡派</t>
  </si>
  <si>
    <t>英国铁路递延-卡派</t>
  </si>
  <si>
    <t>英国海运B</t>
  </si>
  <si>
    <t>英国海运自税不递延</t>
  </si>
  <si>
    <t>英国海运自税递延</t>
  </si>
  <si>
    <t>英国海运卡派-B</t>
  </si>
  <si>
    <t>英国海运自税不递延卡派</t>
  </si>
  <si>
    <t>英国海运递延-卡派</t>
  </si>
  <si>
    <t>欧洲海运卡派B-DG</t>
  </si>
  <si>
    <t>欧洲海运自税递延卡派-DG</t>
  </si>
  <si>
    <t>英国海运递延卡派-DG</t>
  </si>
  <si>
    <t>英海大货中转-递延</t>
  </si>
  <si>
    <t>英铁大货中转-递延-普铁</t>
  </si>
  <si>
    <t>英铁大货中转-递延-快铁</t>
  </si>
  <si>
    <t>英卡大货中转-递延</t>
  </si>
  <si>
    <t>欧海大货中转-递延-普船</t>
  </si>
  <si>
    <t>欧海大货中转-B-普船</t>
  </si>
  <si>
    <t>欧海大货中转-递延-快船</t>
  </si>
  <si>
    <t>欧海大货中转-B-快船</t>
  </si>
  <si>
    <t>欧铁大货中转-递延-普铁</t>
  </si>
  <si>
    <t>欧铁大货中转-B-普铁</t>
  </si>
  <si>
    <t>欧铁大货中转-递延-快铁</t>
  </si>
  <si>
    <t>欧铁大货中转-B-快铁</t>
  </si>
  <si>
    <t>欧卡大货中转-递延</t>
  </si>
  <si>
    <t>欧卡大货中转-B</t>
  </si>
  <si>
    <t>DX中英快铁卡派-B</t>
  </si>
  <si>
    <t>DX欧洲海运快船-卡派B</t>
  </si>
  <si>
    <t>DX欧洲海运自税递延-快船</t>
  </si>
  <si>
    <t>DX欧洲海运自税递延卡派-普船</t>
  </si>
  <si>
    <t>DX欧洲海运普船-卡派B</t>
  </si>
  <si>
    <t>DX欧洲铁路卡派自税递延</t>
  </si>
  <si>
    <t>DX欧洲铁路卡派B</t>
  </si>
  <si>
    <t>DX中欧快铁卡派自税递延</t>
  </si>
  <si>
    <t>DX中欧快铁卡派B</t>
  </si>
  <si>
    <t>DX英国海运递延-卡派</t>
  </si>
  <si>
    <t>DX英国海运自税不递延卡派</t>
  </si>
  <si>
    <t>DX英国海运卡派-B</t>
  </si>
  <si>
    <t>DX英国铁路递延-卡派</t>
  </si>
  <si>
    <t>DX英国铁路自税不递延-卡派</t>
  </si>
  <si>
    <t>DX英国铁路卡派-B</t>
  </si>
  <si>
    <t>DX中英快铁自税不递延-卡派</t>
  </si>
  <si>
    <t>DX中英快铁自税递延-卡派</t>
  </si>
  <si>
    <t>DX欧洲卡航-卡派B</t>
  </si>
  <si>
    <t>DX欧洲卡航递延-卡派</t>
  </si>
  <si>
    <t>DX英国卡航卡派-B</t>
  </si>
  <si>
    <t>DX英国卡航递延-卡派</t>
  </si>
  <si>
    <t>DX英国卡航自税不递延-卡派</t>
  </si>
  <si>
    <t>深圳UPS红单</t>
  </si>
  <si>
    <t>18日达-海卡专线</t>
  </si>
  <si>
    <t>18日达-海派专线</t>
  </si>
  <si>
    <t>18日达CBM</t>
  </si>
  <si>
    <t>幻影海派</t>
  </si>
  <si>
    <t>幻影专线</t>
  </si>
  <si>
    <t>幻影专线CBM</t>
  </si>
  <si>
    <t>718海派</t>
  </si>
  <si>
    <t>718专线</t>
  </si>
  <si>
    <t>718专线CBM</t>
  </si>
  <si>
    <t>H-718存仓</t>
  </si>
  <si>
    <t>H-718存仓CBM</t>
  </si>
  <si>
    <t>K12-718海派</t>
  </si>
  <si>
    <t>K12-718专线</t>
  </si>
  <si>
    <t>K12-718专线CBM</t>
  </si>
  <si>
    <t>911海派</t>
  </si>
  <si>
    <t>911专线</t>
  </si>
  <si>
    <t>911专线CBM</t>
  </si>
  <si>
    <t>H-911存仓</t>
  </si>
  <si>
    <t>H-911存仓CBM</t>
  </si>
  <si>
    <t>A8海派</t>
  </si>
  <si>
    <t>A8专线</t>
  </si>
  <si>
    <t>A8专线CBM</t>
  </si>
  <si>
    <t>K12-A8海派</t>
  </si>
  <si>
    <t>K12-A8专线</t>
  </si>
  <si>
    <t>K12-A8专线CBM</t>
  </si>
  <si>
    <t>快速达卡派</t>
  </si>
  <si>
    <t>快速达CBM</t>
  </si>
  <si>
    <t>快速达海派</t>
  </si>
  <si>
    <t>H-快速达存仓</t>
  </si>
  <si>
    <t>H-快速达存仓CBM</t>
  </si>
  <si>
    <t>K12-快速达</t>
  </si>
  <si>
    <t>K12-快速达CBM</t>
  </si>
  <si>
    <t>K12-快速达海派</t>
  </si>
  <si>
    <t>K03绿色通道海派</t>
  </si>
  <si>
    <t>K03绿色通道卡派</t>
  </si>
  <si>
    <t>K03绿色通道卡派CBM</t>
  </si>
  <si>
    <t>A6全美直送专线</t>
  </si>
  <si>
    <t>A6全美直送专线CBM</t>
  </si>
  <si>
    <t>K15纽约海卡</t>
  </si>
  <si>
    <t>K15纽约海卡CBM</t>
  </si>
  <si>
    <t>琦速达纽约</t>
  </si>
  <si>
    <t>琦速达纽约CBM</t>
  </si>
  <si>
    <t>K12-X3海派</t>
  </si>
  <si>
    <t>K12-X3专线</t>
  </si>
  <si>
    <t>K12-X4海派</t>
  </si>
  <si>
    <t>K12-X5专线</t>
  </si>
  <si>
    <t>K13美中专线</t>
  </si>
  <si>
    <t>K13美中专线CBM</t>
  </si>
  <si>
    <t>K03-休斯顿快线</t>
  </si>
  <si>
    <t>K03-休斯顿快线CBM</t>
  </si>
  <si>
    <t>K14芝加哥专线</t>
  </si>
  <si>
    <t>K14芝加哥专线CBM</t>
  </si>
  <si>
    <t>琦速达芝加哥</t>
  </si>
  <si>
    <t>琦速达芝加哥CBM</t>
  </si>
  <si>
    <t>X1-专线(多伦多)</t>
  </si>
  <si>
    <t>X1-专线(卡尔加里)</t>
  </si>
  <si>
    <r>
      <rPr>
        <sz val="12"/>
        <rFont val="宋体"/>
        <charset val="134"/>
      </rPr>
      <t>X1-温哥华海派</t>
    </r>
  </si>
  <si>
    <r>
      <rPr>
        <sz val="12"/>
        <rFont val="宋体"/>
        <charset val="134"/>
      </rPr>
      <t>X1-多伦多海派</t>
    </r>
  </si>
  <si>
    <t>X1-专线(温哥华)</t>
  </si>
  <si>
    <t>X1-专线(多伦多)CBM</t>
  </si>
  <si>
    <t>X1-专线(温哥华)CBM</t>
  </si>
  <si>
    <t>X1-专线(卡尔加里)CBM</t>
  </si>
  <si>
    <t>X3-海派</t>
  </si>
  <si>
    <t>X3-专线</t>
  </si>
  <si>
    <t>X4-海派</t>
  </si>
  <si>
    <t>X5-专线</t>
  </si>
  <si>
    <t>X7-海派</t>
  </si>
  <si>
    <t>Y03-休斯顿快线</t>
  </si>
  <si>
    <t>Y03-休斯顿快线CBM</t>
  </si>
  <si>
    <t>X03-休斯顿快线CBM</t>
  </si>
  <si>
    <t>Y-琦速达芝加哥</t>
  </si>
  <si>
    <t>X-琦速达芝加哥</t>
  </si>
  <si>
    <t>Y-琦速达芝加哥CBM</t>
  </si>
  <si>
    <t>X-琦速达芝加哥CBM</t>
  </si>
  <si>
    <t>X-A6全美直送专线CBM</t>
  </si>
  <si>
    <t>Y-A6全美直送专线CBM</t>
  </si>
  <si>
    <t>X03-休斯顿快线</t>
  </si>
  <si>
    <t>X7-专线</t>
  </si>
  <si>
    <r>
      <rPr>
        <sz val="12"/>
        <rFont val="宋体"/>
        <charset val="134"/>
      </rPr>
      <t>A4-专线</t>
    </r>
  </si>
  <si>
    <r>
      <rPr>
        <sz val="12"/>
        <rFont val="宋体"/>
        <charset val="134"/>
      </rPr>
      <t>A4-专线CBM</t>
    </r>
  </si>
  <si>
    <t>K16萨瓦纳海卡</t>
  </si>
  <si>
    <t>K16萨瓦纳海卡CBM</t>
  </si>
  <si>
    <t>Y-911海派</t>
  </si>
  <si>
    <t>Y-911专线</t>
  </si>
  <si>
    <t>Y-911专线CBM</t>
  </si>
  <si>
    <t>Y-718海派</t>
  </si>
  <si>
    <t>Y-718专线</t>
  </si>
  <si>
    <t>Y-718专线CBM</t>
  </si>
  <si>
    <t>Y-A8海派</t>
  </si>
  <si>
    <t>Y-A8专线</t>
  </si>
  <si>
    <t>Y-A8专线CBM</t>
  </si>
  <si>
    <t>Y-A6全美直送专线</t>
  </si>
  <si>
    <t>Y-18日达-海卡专线</t>
  </si>
  <si>
    <t>Y-18日达-海派专线</t>
  </si>
  <si>
    <t>Y-18日达CBM</t>
  </si>
  <si>
    <t>Y-快速达</t>
  </si>
  <si>
    <t>Y-快速达CBM</t>
  </si>
  <si>
    <t>Y-快速达海派</t>
  </si>
  <si>
    <t>K12-Y-X3海派</t>
  </si>
  <si>
    <t>K12-Y-X4海派</t>
  </si>
  <si>
    <t>Y-K13美中专线</t>
  </si>
  <si>
    <t>Y-K13美中专线CBM</t>
  </si>
  <si>
    <t>Y-K14芝加哥专线</t>
  </si>
  <si>
    <t>Y-K14芝加哥专线CBM</t>
  </si>
  <si>
    <t>Y-幻影专线</t>
  </si>
  <si>
    <t>Y-幻影专线CBM</t>
  </si>
  <si>
    <t>Y-幻影海派</t>
  </si>
  <si>
    <t>Y-A4-专线</t>
  </si>
  <si>
    <t>Y-A4-专线CBM</t>
  </si>
  <si>
    <t>Y-X1-温哥华海派</t>
  </si>
  <si>
    <t>Y-X1-多伦多海派</t>
  </si>
  <si>
    <t>Y-X1-专线(多伦多)</t>
  </si>
  <si>
    <t>Y-X1-专线(多伦多)CBM</t>
  </si>
  <si>
    <t>Y-X1-专线(温哥华)</t>
  </si>
  <si>
    <t>Y-X1-专线(温哥华)CBM</t>
  </si>
  <si>
    <t>Y-X1-专线(卡尔加里)</t>
  </si>
  <si>
    <t>Y-X1-专线(卡尔加里)CBM</t>
  </si>
  <si>
    <t>Y-X3海派</t>
  </si>
  <si>
    <t>Y-X3专线</t>
  </si>
  <si>
    <t>Y-X4海派</t>
  </si>
  <si>
    <t>Y-X5专线</t>
  </si>
  <si>
    <t>Y-X7海派</t>
  </si>
  <si>
    <t>Y-X7专线</t>
  </si>
  <si>
    <t>X-18日达-海卡专线</t>
  </si>
  <si>
    <t>X-18日达-海派专线</t>
  </si>
  <si>
    <t>X-18日达CBM</t>
  </si>
  <si>
    <t>X-718海派</t>
  </si>
  <si>
    <t>X-718专线</t>
  </si>
  <si>
    <t>X-718专线CBM</t>
  </si>
  <si>
    <t>X-911海派</t>
  </si>
  <si>
    <t>X-911专线</t>
  </si>
  <si>
    <t>X-911专线CBM</t>
  </si>
  <si>
    <t>X-A8海派</t>
  </si>
  <si>
    <t>X-A8专线</t>
  </si>
  <si>
    <t>X-A8专线CBM</t>
  </si>
  <si>
    <t>X-快速达</t>
  </si>
  <si>
    <t>X-快速达CBM</t>
  </si>
  <si>
    <t>X-快速达海派</t>
  </si>
  <si>
    <t>X-A6全美直送专线</t>
  </si>
  <si>
    <t>X-K13美中专线</t>
  </si>
  <si>
    <t>X-K13美中专线CBM</t>
  </si>
  <si>
    <t>X-K14芝加哥专线</t>
  </si>
  <si>
    <t>X-K14芝加哥专线CBM</t>
  </si>
  <si>
    <t>X-幻影专线</t>
  </si>
  <si>
    <t>X-幻影专线CBM</t>
  </si>
  <si>
    <t>X-幻影海派</t>
  </si>
  <si>
    <t>X-A4-专线</t>
  </si>
  <si>
    <t>X-A4-专线CBM</t>
  </si>
  <si>
    <t>X-X1-温哥华海派</t>
  </si>
  <si>
    <t>X-X1-多伦多海派</t>
  </si>
  <si>
    <t>X-X1-专线(多伦多)</t>
  </si>
  <si>
    <t>X-X1-专线(多伦多)CBM</t>
  </si>
  <si>
    <t>X-X1-专线(温哥华)</t>
  </si>
  <si>
    <t>X-X1-专线(温哥华)CBM</t>
  </si>
  <si>
    <t>X-X1-专线(卡尔加里)</t>
  </si>
  <si>
    <t>X-X1-专线(卡尔加里)CBM</t>
  </si>
  <si>
    <t>X-X3海派</t>
  </si>
  <si>
    <t>X-X3专线</t>
  </si>
  <si>
    <t>X-X4海派</t>
  </si>
  <si>
    <t>X-X5专线</t>
  </si>
  <si>
    <t>X-X7海派</t>
  </si>
  <si>
    <t>X-X7专线</t>
  </si>
  <si>
    <t>纽约快速达</t>
  </si>
  <si>
    <t>纽约快速达CMB</t>
  </si>
  <si>
    <t>X-纽约快速达</t>
  </si>
  <si>
    <t>X-纽约快速达CBM</t>
  </si>
  <si>
    <t>Y-纽约快速达</t>
  </si>
  <si>
    <t>Y-纽约快速达CBM</t>
  </si>
  <si>
    <t>H-X718存仓</t>
  </si>
  <si>
    <t>H-X718存仓CBM</t>
  </si>
  <si>
    <t>H-Y718存仓</t>
  </si>
  <si>
    <t>H-Y718存仓CBM</t>
  </si>
  <si>
    <t>K12-X718海派</t>
  </si>
  <si>
    <t>K12-X718专线</t>
  </si>
  <si>
    <t>K12-X718专线CBM</t>
  </si>
  <si>
    <t>K12-Y718海派</t>
  </si>
  <si>
    <t>K12-Y718专线</t>
  </si>
  <si>
    <t>K12-Y718专线CBM</t>
  </si>
  <si>
    <t>H-X911存仓</t>
  </si>
  <si>
    <t>H-X911存仓CBM</t>
  </si>
  <si>
    <t>H-Y911存仓</t>
  </si>
  <si>
    <t>H-Y911存仓CBM</t>
  </si>
  <si>
    <t>K12-XA8海派</t>
  </si>
  <si>
    <t>K12-XA8专线</t>
  </si>
  <si>
    <t>K12-XA8专线CBM</t>
  </si>
  <si>
    <t>K12-YA8海派</t>
  </si>
  <si>
    <t>K12-YA8专线</t>
  </si>
  <si>
    <t>K12-YA8专线CBM</t>
  </si>
  <si>
    <t>H-X快速达存仓</t>
  </si>
  <si>
    <t>H-X快速达存仓CBM</t>
  </si>
  <si>
    <t>H-Y快速达存仓</t>
  </si>
  <si>
    <t>H-Y快速达存仓CBM</t>
  </si>
  <si>
    <t>K12-X快速达</t>
  </si>
  <si>
    <t>K12-X快速达CBM</t>
  </si>
  <si>
    <t>K12-X快速达海派</t>
  </si>
  <si>
    <t>K12-Y快速达</t>
  </si>
  <si>
    <t>K12-Y快速达CBM</t>
  </si>
  <si>
    <t>K12-Y快速达海派</t>
  </si>
  <si>
    <t>Y03绿色通道海派</t>
  </si>
  <si>
    <t>Y03绿色通道卡派</t>
  </si>
  <si>
    <t>Y03绿色通道卡派CBM</t>
  </si>
  <si>
    <t>X15纽约海卡</t>
  </si>
  <si>
    <t>X15纽约海卡CBM</t>
  </si>
  <si>
    <t>Y15纽约海卡</t>
  </si>
  <si>
    <t>Y15纽约海卡CBM</t>
  </si>
  <si>
    <r>
      <rPr>
        <sz val="12"/>
        <rFont val="宋体"/>
        <charset val="134"/>
      </rPr>
      <t>K12-K15玩具专线</t>
    </r>
  </si>
  <si>
    <r>
      <rPr>
        <sz val="12"/>
        <rFont val="宋体"/>
        <charset val="134"/>
      </rPr>
      <t>K12-K15玩具专线CBM</t>
    </r>
  </si>
  <si>
    <r>
      <rPr>
        <sz val="12"/>
        <rFont val="宋体"/>
        <charset val="134"/>
      </rPr>
      <t>K12-Y15玩具专线</t>
    </r>
  </si>
  <si>
    <r>
      <rPr>
        <sz val="12"/>
        <rFont val="宋体"/>
        <charset val="134"/>
      </rPr>
      <t>K12-Y15玩具专线CBM</t>
    </r>
  </si>
  <si>
    <r>
      <rPr>
        <sz val="12"/>
        <rFont val="宋体"/>
        <charset val="134"/>
      </rPr>
      <t>K12-X15玩具专线</t>
    </r>
  </si>
  <si>
    <r>
      <rPr>
        <sz val="12"/>
        <rFont val="宋体"/>
        <charset val="134"/>
      </rPr>
      <t>K12-X15玩具专线CBM</t>
    </r>
  </si>
  <si>
    <t>X琦速达纽约</t>
  </si>
  <si>
    <t>X琦速达纽约CBM</t>
  </si>
  <si>
    <t>Y琦速达纽约</t>
  </si>
  <si>
    <t>Y琦速达纽约CBM</t>
  </si>
  <si>
    <t>K12-X-X3海派</t>
  </si>
  <si>
    <t>K12-X-X4海派</t>
  </si>
  <si>
    <t>纽约快速达CBM</t>
  </si>
  <si>
    <r>
      <rPr>
        <sz val="12"/>
        <rFont val="宋体"/>
        <charset val="134"/>
      </rPr>
      <t>K12-A4-专线</t>
    </r>
  </si>
  <si>
    <r>
      <rPr>
        <sz val="12"/>
        <rFont val="宋体"/>
        <charset val="134"/>
      </rPr>
      <t>K12-A4-专线CBM</t>
    </r>
  </si>
  <si>
    <r>
      <rPr>
        <sz val="12"/>
        <rFont val="宋体"/>
        <charset val="134"/>
      </rPr>
      <t>X-K12-A4-专线</t>
    </r>
  </si>
  <si>
    <r>
      <rPr>
        <sz val="12"/>
        <rFont val="宋体"/>
        <charset val="134"/>
      </rPr>
      <t>X-K12-A4-专线CBM</t>
    </r>
  </si>
  <si>
    <r>
      <rPr>
        <sz val="12"/>
        <rFont val="宋体"/>
        <charset val="134"/>
      </rPr>
      <t>Y-K12-A4-专线</t>
    </r>
  </si>
  <si>
    <r>
      <rPr>
        <sz val="12"/>
        <rFont val="宋体"/>
        <charset val="134"/>
      </rPr>
      <t>Y-K12-A4-专线CBM</t>
    </r>
  </si>
  <si>
    <t>A4海派</t>
  </si>
  <si>
    <t>X-A4海派</t>
  </si>
  <si>
    <t>Y-A4海派</t>
  </si>
  <si>
    <r>
      <rPr>
        <sz val="12"/>
        <rFont val="宋体"/>
        <charset val="134"/>
      </rPr>
      <t>奥克兰快船</t>
    </r>
  </si>
  <si>
    <r>
      <rPr>
        <sz val="12"/>
        <rFont val="宋体"/>
        <charset val="134"/>
      </rPr>
      <t>奥克兰快船CBM</t>
    </r>
  </si>
  <si>
    <r>
      <rPr>
        <sz val="12"/>
        <rFont val="宋体"/>
        <charset val="134"/>
      </rPr>
      <t>Y-奥克兰快船</t>
    </r>
  </si>
  <si>
    <r>
      <rPr>
        <sz val="12"/>
        <rFont val="宋体"/>
        <charset val="134"/>
      </rPr>
      <t>Y-奥克兰快船CBM</t>
    </r>
  </si>
  <si>
    <r>
      <rPr>
        <sz val="12"/>
        <rFont val="宋体"/>
        <charset val="134"/>
      </rPr>
      <t>X-奥克兰快船</t>
    </r>
  </si>
  <si>
    <r>
      <rPr>
        <sz val="12"/>
        <rFont val="宋体"/>
        <charset val="134"/>
      </rPr>
      <t>X-奥克兰快船CBM</t>
    </r>
  </si>
  <si>
    <t>西雅图快船</t>
  </si>
  <si>
    <t>西雅图快船CBM</t>
  </si>
  <si>
    <t>X-西雅图快船</t>
  </si>
  <si>
    <t>X-西雅图快船CBM</t>
  </si>
  <si>
    <t>X-K16萨瓦纳海卡</t>
  </si>
  <si>
    <t>X-K16萨瓦纳海卡CBM</t>
  </si>
  <si>
    <t>Y-K16萨瓦纳海卡</t>
  </si>
  <si>
    <t>Y-K16萨瓦纳海卡CBM</t>
  </si>
  <si>
    <t>T-718海派</t>
  </si>
  <si>
    <t>T-718专线</t>
  </si>
  <si>
    <t>T-718专线CBM</t>
  </si>
  <si>
    <t>T15纽约海卡</t>
  </si>
  <si>
    <t>T15纽约海卡CBM</t>
  </si>
  <si>
    <t>琦速达</t>
  </si>
  <si>
    <t>琦速达CBM</t>
  </si>
  <si>
    <t>Y-琦速达</t>
  </si>
  <si>
    <t>Y-琦速达CBM</t>
  </si>
  <si>
    <t>X-琦速达</t>
  </si>
  <si>
    <t>X-琦速达CBM</t>
  </si>
  <si>
    <t>琦速达海派</t>
  </si>
  <si>
    <t>Y-琦速达海派</t>
  </si>
  <si>
    <t>X-琦速达海派</t>
  </si>
  <si>
    <t>快速达专线-DG</t>
  </si>
  <si>
    <t>快速达专线CBM-DG</t>
  </si>
  <si>
    <t>718专线-DG</t>
  </si>
  <si>
    <t>718专线CBM-DG</t>
  </si>
  <si>
    <t>FCL-DDP</t>
  </si>
  <si>
    <t>FCL-DDU</t>
  </si>
  <si>
    <t>FCL-CIF</t>
  </si>
  <si>
    <t>FCL-FOB</t>
  </si>
  <si>
    <t>FCL-清关+派送</t>
  </si>
  <si>
    <t>FCL-尾程派送</t>
  </si>
  <si>
    <t>Y9-VNMFASTKG</t>
  </si>
  <si>
    <t>Y9-VNMFASTCBM</t>
  </si>
  <si>
    <t>Y9-VNMECONKG</t>
  </si>
  <si>
    <t>Y9-VNMECONCBM</t>
  </si>
  <si>
    <t>Y9-VNMZIMKG</t>
  </si>
  <si>
    <t>Y9-VNMZIMCBM</t>
  </si>
  <si>
    <t>718SL</t>
  </si>
  <si>
    <t>718SL-CBM</t>
  </si>
  <si>
    <t>Y-718SL</t>
  </si>
  <si>
    <t>Y-718SL-CBM</t>
  </si>
  <si>
    <t>X-718SL</t>
  </si>
  <si>
    <t>X-718SL-CBM</t>
  </si>
  <si>
    <t>快速达SL</t>
  </si>
  <si>
    <t>快速达SL-CBM</t>
  </si>
  <si>
    <t>Y-快速达SL</t>
  </si>
  <si>
    <t>Y-快速达SL-CBM</t>
  </si>
  <si>
    <t>X-快速达SL</t>
  </si>
  <si>
    <t>X-快速达SL-CBM</t>
  </si>
  <si>
    <t>纽约快速达SL</t>
  </si>
  <si>
    <t>纽约快速达SL-CBM</t>
  </si>
  <si>
    <t>Y-纽约快速达SL</t>
  </si>
  <si>
    <t>Y-纽约快速达SL-CBM</t>
  </si>
  <si>
    <t>X-纽约快速达SL</t>
  </si>
  <si>
    <t>X-纽约快速达SL-CBM</t>
  </si>
  <si>
    <t>美转墨专线（一类）CBM</t>
  </si>
  <si>
    <t>美转墨专线（二类）CBM</t>
  </si>
  <si>
    <t>美转墨专线（三类）CBM</t>
  </si>
  <si>
    <t>美转墨专线（一类）</t>
  </si>
  <si>
    <t>美转墨专线（二类）</t>
  </si>
  <si>
    <t>美转墨专线（三类）</t>
  </si>
  <si>
    <t>X-A4SAV-CBM</t>
  </si>
  <si>
    <t>X-A4SAV</t>
  </si>
  <si>
    <t>Y-A4SAV-CBM</t>
  </si>
  <si>
    <t>Y-A4SAV</t>
  </si>
  <si>
    <t>A4SAV-CBM</t>
  </si>
  <si>
    <t>A4SAV</t>
  </si>
  <si>
    <t>YB-A4SAV</t>
  </si>
  <si>
    <t>X-A4NY-CBM</t>
  </si>
  <si>
    <t>X-A4NY</t>
  </si>
  <si>
    <t>Y-A4NY-CBM</t>
  </si>
  <si>
    <t>Y-A4NY</t>
  </si>
  <si>
    <t>A4NY-CBM</t>
  </si>
  <si>
    <t>A4NY</t>
  </si>
  <si>
    <t>YB-A4NY</t>
  </si>
  <si>
    <t>A3-LAX9</t>
  </si>
  <si>
    <t>A3-SBD1</t>
  </si>
  <si>
    <t>A3-LAS1</t>
  </si>
  <si>
    <t>A3-CLT2</t>
  </si>
  <si>
    <t>A3-TEB9</t>
  </si>
  <si>
    <t>A3-LAX9-CBM</t>
  </si>
  <si>
    <t>A3-SBD1-CBM</t>
  </si>
  <si>
    <t>A3-LAS1-CBM</t>
  </si>
  <si>
    <t>A3-CLT2-CBM</t>
  </si>
  <si>
    <t>A3-TEB9-CBM</t>
  </si>
  <si>
    <t>Y-A3-LAX9</t>
  </si>
  <si>
    <t>Y-A3-SBD1</t>
  </si>
  <si>
    <t>Y-A3-LAS1</t>
  </si>
  <si>
    <t>Y-A3-CLT2</t>
  </si>
  <si>
    <t>Y-A3-TEB9</t>
  </si>
  <si>
    <t>Y-A3-LAX9-CBM</t>
  </si>
  <si>
    <t>Y-A3-SBD1-CBM</t>
  </si>
  <si>
    <t>Y-A3-LAS1-CBM</t>
  </si>
  <si>
    <t>Y-A3-CLT2-CBM</t>
  </si>
  <si>
    <t>Y-A3-TEB9-CBM</t>
  </si>
  <si>
    <t>X-A3-LAX9</t>
  </si>
  <si>
    <t>X-A3-SBD1</t>
  </si>
  <si>
    <t>X-A3-LAS1</t>
  </si>
  <si>
    <t>X-A3-CLT2</t>
  </si>
  <si>
    <t>X-A3-TEB9</t>
  </si>
  <si>
    <t>X-A3-LAX9-CBM</t>
  </si>
  <si>
    <t>X-A3-SBD1-CBM</t>
  </si>
  <si>
    <t>X-A3-LAS1-CBM</t>
  </si>
  <si>
    <t>X-A3-CLT2-CBM</t>
  </si>
  <si>
    <t>X-A3-TEB9-CBM</t>
  </si>
  <si>
    <t>X1-专线(温尼伯)</t>
  </si>
  <si>
    <t>Y-X1-专线(温尼伯)</t>
  </si>
  <si>
    <t>X-X1-专线(温尼伯)</t>
  </si>
  <si>
    <t>X1-专线(温尼伯)CBM</t>
  </si>
  <si>
    <t>Y-X1-专线(温尼伯)CBM</t>
  </si>
  <si>
    <t>X-X1-专线(温尼伯)CBM</t>
  </si>
  <si>
    <t>Y-SEND特快专线CBM</t>
  </si>
  <si>
    <t>Y-SEND快船专线CBM</t>
  </si>
  <si>
    <t>Y-SEND普船专线CBM</t>
  </si>
  <si>
    <t>X-SEND特快专线CBM</t>
  </si>
  <si>
    <t>X-SEND快船专线CBM</t>
  </si>
  <si>
    <t>Y-SEND特快专线</t>
  </si>
  <si>
    <t>Y-SEND快船专线</t>
  </si>
  <si>
    <t>X-SEND普船专线CBM</t>
  </si>
  <si>
    <t>Y-SEND普船专线</t>
  </si>
  <si>
    <t>SEND特快专线CBM</t>
  </si>
  <si>
    <t>X-SEND特快专线</t>
  </si>
  <si>
    <t>SEND快船专线CBM</t>
  </si>
  <si>
    <t>X-SEND快船专线</t>
  </si>
  <si>
    <t>X-SEND普船专线</t>
  </si>
  <si>
    <t>SEND特快专线</t>
  </si>
  <si>
    <t>SEND普船专线CBM</t>
  </si>
  <si>
    <t>SEND快船专线</t>
  </si>
  <si>
    <t>YB-SEND特快专线</t>
  </si>
  <si>
    <t>SEND普船专线</t>
  </si>
  <si>
    <t>YB-SEND快船专线</t>
  </si>
  <si>
    <t>巴西海运-BR0001</t>
  </si>
  <si>
    <t>巴西海运-BR0002</t>
  </si>
  <si>
    <t>备注：渠道服务问题如有疑问请联系我司客服咨询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</si>
</sst>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9">
    <font>
      <sz val="11"/>
      <color theme="1"/>
      <name val="宋体"/>
      <charset val="134"/>
      <scheme val="minor"/>
    </font>
    <font>
      <sz val="11"/>
      <color theme="1"/>
      <name val="腾祥沁圆简-W2"/>
      <charset val="134"/>
    </font>
    <font>
      <b/>
      <sz val="11"/>
      <color theme="0"/>
      <name val="微软雅黑"/>
      <charset val="134"/>
    </font>
    <font>
      <sz val="11"/>
      <name val="微软雅黑"/>
      <charset val="0"/>
    </font>
    <font>
      <sz val="11"/>
      <color theme="1"/>
      <name val="微软雅黑"/>
      <charset val="0"/>
    </font>
    <font>
      <sz val="11"/>
      <color rgb="FFFF0000"/>
      <name val="微软雅黑"/>
      <charset val="0"/>
    </font>
    <font>
      <sz val="12"/>
      <color indexed="8"/>
      <name val="微软雅黑"/>
      <charset val="134"/>
    </font>
    <font>
      <sz val="9"/>
      <color indexed="8"/>
      <name val="微软雅黑"/>
      <charset val="134"/>
    </font>
    <font>
      <sz val="9"/>
      <color theme="1"/>
      <name val="微软雅黑"/>
      <charset val="134"/>
    </font>
    <font>
      <b/>
      <sz val="11"/>
      <color rgb="FFFF0000"/>
      <name val="微软雅黑"/>
      <charset val="134"/>
    </font>
    <font>
      <sz val="9"/>
      <color theme="1"/>
      <name val="微软雅黑"/>
      <charset val="0"/>
    </font>
    <font>
      <sz val="1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9"/>
      <color indexed="8"/>
      <name val="微软雅黑"/>
      <charset val="0"/>
    </font>
    <font>
      <b/>
      <sz val="10"/>
      <name val="微软雅黑"/>
      <charset val="134"/>
    </font>
    <font>
      <b/>
      <sz val="9"/>
      <color rgb="FF000000"/>
      <name val="微软雅黑"/>
      <charset val="134"/>
    </font>
    <font>
      <sz val="12"/>
      <name val="微软雅黑"/>
      <charset val="134"/>
    </font>
    <font>
      <sz val="9"/>
      <color rgb="FFDD0806"/>
      <name val="微软雅黑"/>
      <charset val="134"/>
    </font>
    <font>
      <b/>
      <sz val="9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b/>
      <sz val="12"/>
      <color rgb="FFFF0000"/>
      <name val="微软雅黑"/>
      <charset val="134"/>
    </font>
    <font>
      <u/>
      <sz val="11"/>
      <color indexed="12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indexed="10"/>
      <name val="微软雅黑"/>
      <charset val="134"/>
    </font>
    <font>
      <sz val="12"/>
      <name val="宋体"/>
      <charset val="134"/>
    </font>
    <font>
      <sz val="12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70F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medium">
        <color rgb="FFC70F00"/>
      </top>
      <bottom style="medium">
        <color rgb="FFC70F00"/>
      </bottom>
      <diagonal/>
    </border>
    <border>
      <left/>
      <right style="medium">
        <color rgb="FFC70F00"/>
      </right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/>
      <bottom style="dashed">
        <color rgb="FFC70F00"/>
      </bottom>
      <diagonal/>
    </border>
    <border>
      <left/>
      <right/>
      <top/>
      <bottom style="dashed">
        <color rgb="FFC70F00"/>
      </bottom>
      <diagonal/>
    </border>
    <border>
      <left/>
      <right style="medium">
        <color rgb="FFC70F00"/>
      </right>
      <top/>
      <bottom style="dashed">
        <color rgb="FFC70F00"/>
      </bottom>
      <diagonal/>
    </border>
    <border>
      <left/>
      <right/>
      <top style="dashed">
        <color rgb="FFC70F00"/>
      </top>
      <bottom style="dashed">
        <color rgb="FFC70F00"/>
      </bottom>
      <diagonal/>
    </border>
    <border>
      <left/>
      <right style="medium">
        <color rgb="FFC70F00"/>
      </right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dashed">
        <color rgb="FFC70F00"/>
      </top>
      <bottom style="medium">
        <color rgb="FFC70F00"/>
      </bottom>
      <diagonal/>
    </border>
    <border>
      <left/>
      <right/>
      <top style="dashed">
        <color rgb="FFC70F00"/>
      </top>
      <bottom style="medium">
        <color rgb="FFC70F00"/>
      </bottom>
      <diagonal/>
    </border>
    <border>
      <left/>
      <right style="medium">
        <color rgb="FFC70F00"/>
      </right>
      <top style="dashed">
        <color rgb="FFC70F00"/>
      </top>
      <bottom style="medium">
        <color rgb="FFC70F00"/>
      </bottom>
      <diagonal/>
    </border>
    <border>
      <left style="medium">
        <color rgb="FFC70F00"/>
      </left>
      <right/>
      <top style="dashed">
        <color rgb="FFC70F00"/>
      </top>
      <bottom/>
      <diagonal/>
    </border>
    <border>
      <left/>
      <right/>
      <top style="dashed">
        <color rgb="FFC70F00"/>
      </top>
      <bottom/>
      <diagonal/>
    </border>
    <border>
      <left/>
      <right style="medium">
        <color rgb="FFC70F00"/>
      </right>
      <top style="dashed">
        <color rgb="FFC70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1" borderId="22" applyNumberFormat="0" applyAlignment="0" applyProtection="0">
      <alignment vertical="center"/>
    </xf>
    <xf numFmtId="0" fontId="34" fillId="12" borderId="23" applyNumberFormat="0" applyAlignment="0" applyProtection="0">
      <alignment vertical="center"/>
    </xf>
    <xf numFmtId="0" fontId="35" fillId="12" borderId="22" applyNumberFormat="0" applyAlignment="0" applyProtection="0">
      <alignment vertical="center"/>
    </xf>
    <xf numFmtId="0" fontId="36" fillId="13" borderId="24" applyNumberFormat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 applyProtection="1">
      <alignment wrapText="1"/>
    </xf>
    <xf numFmtId="0" fontId="4" fillId="3" borderId="2" xfId="0" applyFont="1" applyFill="1" applyBorder="1" applyAlignment="1" applyProtection="1">
      <alignment wrapText="1"/>
    </xf>
    <xf numFmtId="0" fontId="5" fillId="3" borderId="2" xfId="0" applyFont="1" applyFill="1" applyBorder="1" applyAlignment="1" applyProtection="1">
      <alignment wrapText="1"/>
    </xf>
    <xf numFmtId="0" fontId="6" fillId="0" borderId="0" xfId="0" applyFont="1" applyFill="1" applyAlignment="1" applyProtection="1">
      <alignment horizontal="left" vertical="top" wrapText="1"/>
    </xf>
    <xf numFmtId="0" fontId="7" fillId="0" borderId="0" xfId="0" applyFont="1" applyFill="1" applyAlignment="1" applyProtection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left" vertical="top" wrapText="1"/>
    </xf>
    <xf numFmtId="0" fontId="10" fillId="0" borderId="8" xfId="0" applyFont="1" applyFill="1" applyBorder="1" applyAlignment="1" applyProtection="1">
      <alignment horizontal="left" vertical="top" wrapText="1"/>
    </xf>
    <xf numFmtId="0" fontId="10" fillId="0" borderId="9" xfId="0" applyFont="1" applyFill="1" applyBorder="1" applyAlignment="1" applyProtection="1">
      <alignment horizontal="left" vertical="top" wrapText="1"/>
    </xf>
    <xf numFmtId="0" fontId="10" fillId="4" borderId="8" xfId="0" applyFont="1" applyFill="1" applyBorder="1" applyAlignment="1" applyProtection="1">
      <alignment horizontal="left" vertical="top" wrapText="1"/>
    </xf>
    <xf numFmtId="0" fontId="10" fillId="4" borderId="9" xfId="0" applyFont="1" applyFill="1" applyBorder="1" applyAlignment="1" applyProtection="1">
      <alignment horizontal="left" vertical="top" wrapText="1"/>
    </xf>
    <xf numFmtId="0" fontId="11" fillId="3" borderId="2" xfId="0" applyFont="1" applyFill="1" applyBorder="1" applyAlignment="1">
      <alignment horizontal="left" vertical="top"/>
    </xf>
    <xf numFmtId="0" fontId="8" fillId="0" borderId="8" xfId="0" applyFont="1" applyFill="1" applyBorder="1" applyAlignment="1">
      <alignment horizontal="left" vertical="top"/>
    </xf>
    <xf numFmtId="0" fontId="12" fillId="0" borderId="8" xfId="0" applyFont="1" applyFill="1" applyBorder="1" applyAlignment="1" applyProtection="1">
      <alignment horizontal="left" vertical="top"/>
    </xf>
    <xf numFmtId="0" fontId="12" fillId="0" borderId="8" xfId="0" applyFont="1" applyFill="1" applyBorder="1" applyAlignment="1">
      <alignment horizontal="left" vertical="top"/>
    </xf>
    <xf numFmtId="0" fontId="12" fillId="0" borderId="9" xfId="0" applyFont="1" applyFill="1" applyBorder="1" applyAlignment="1">
      <alignment horizontal="left" vertical="top"/>
    </xf>
    <xf numFmtId="0" fontId="12" fillId="4" borderId="8" xfId="0" applyFont="1" applyFill="1" applyBorder="1" applyAlignment="1">
      <alignment horizontal="left" vertical="top"/>
    </xf>
    <xf numFmtId="0" fontId="12" fillId="4" borderId="8" xfId="0" applyFont="1" applyFill="1" applyBorder="1" applyAlignment="1" applyProtection="1">
      <alignment horizontal="left" vertical="top"/>
    </xf>
    <xf numFmtId="0" fontId="12" fillId="4" borderId="9" xfId="0" applyFont="1" applyFill="1" applyBorder="1" applyAlignment="1">
      <alignment horizontal="left" vertical="top"/>
    </xf>
    <xf numFmtId="0" fontId="12" fillId="0" borderId="9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/>
    </xf>
    <xf numFmtId="0" fontId="13" fillId="4" borderId="9" xfId="0" applyFont="1" applyFill="1" applyBorder="1" applyAlignment="1">
      <alignment horizontal="left" vertical="top"/>
    </xf>
    <xf numFmtId="0" fontId="11" fillId="3" borderId="2" xfId="0" applyFont="1" applyFill="1" applyBorder="1" applyAlignment="1" applyProtection="1">
      <alignment horizontal="left" vertical="top"/>
    </xf>
    <xf numFmtId="0" fontId="12" fillId="0" borderId="9" xfId="0" applyFont="1" applyFill="1" applyBorder="1" applyAlignment="1" applyProtection="1">
      <alignment horizontal="left" vertical="top"/>
    </xf>
    <xf numFmtId="0" fontId="12" fillId="4" borderId="9" xfId="0" applyFont="1" applyFill="1" applyBorder="1" applyAlignment="1" applyProtection="1">
      <alignment horizontal="left" vertical="top"/>
    </xf>
    <xf numFmtId="0" fontId="12" fillId="0" borderId="8" xfId="0" applyFont="1" applyFill="1" applyBorder="1" applyAlignment="1" applyProtection="1">
      <alignment horizontal="left" vertical="top" wrapText="1"/>
    </xf>
    <xf numFmtId="0" fontId="12" fillId="0" borderId="8" xfId="0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left" vertical="top" wrapText="1"/>
    </xf>
    <xf numFmtId="0" fontId="11" fillId="3" borderId="10" xfId="0" applyFont="1" applyFill="1" applyBorder="1" applyAlignment="1">
      <alignment horizontal="left" vertical="top"/>
    </xf>
    <xf numFmtId="0" fontId="12" fillId="0" borderId="11" xfId="0" applyFont="1" applyFill="1" applyBorder="1" applyAlignment="1">
      <alignment horizontal="left" vertical="top"/>
    </xf>
    <xf numFmtId="0" fontId="12" fillId="0" borderId="11" xfId="0" applyFont="1" applyFill="1" applyBorder="1" applyAlignment="1" applyProtection="1">
      <alignment horizontal="left" vertical="top"/>
    </xf>
    <xf numFmtId="0" fontId="12" fillId="0" borderId="12" xfId="0" applyFont="1" applyFill="1" applyBorder="1" applyAlignment="1">
      <alignment horizontal="left" vertical="top"/>
    </xf>
    <xf numFmtId="0" fontId="13" fillId="0" borderId="9" xfId="0" applyFont="1" applyFill="1" applyBorder="1" applyAlignment="1" applyProtection="1">
      <alignment horizontal="left" vertical="top"/>
    </xf>
    <xf numFmtId="0" fontId="14" fillId="0" borderId="0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left" vertical="top"/>
    </xf>
    <xf numFmtId="0" fontId="12" fillId="0" borderId="14" xfId="0" applyFont="1" applyFill="1" applyBorder="1" applyAlignment="1">
      <alignment horizontal="left" vertical="top"/>
    </xf>
    <xf numFmtId="0" fontId="14" fillId="0" borderId="0" xfId="0" applyFont="1" applyFill="1" applyBorder="1" applyAlignment="1" applyProtection="1">
      <alignment horizontal="left" vertical="center"/>
    </xf>
    <xf numFmtId="0" fontId="11" fillId="3" borderId="13" xfId="0" applyFont="1" applyFill="1" applyBorder="1" applyAlignment="1" applyProtection="1">
      <alignment horizontal="left" vertical="top"/>
    </xf>
    <xf numFmtId="0" fontId="12" fillId="4" borderId="14" xfId="0" applyFont="1" applyFill="1" applyBorder="1" applyAlignment="1" applyProtection="1">
      <alignment horizontal="left" vertical="top"/>
    </xf>
    <xf numFmtId="0" fontId="12" fillId="4" borderId="14" xfId="0" applyFont="1" applyFill="1" applyBorder="1" applyAlignment="1">
      <alignment horizontal="left" vertical="top" wrapText="1"/>
    </xf>
    <xf numFmtId="0" fontId="12" fillId="4" borderId="15" xfId="0" applyFont="1" applyFill="1" applyBorder="1" applyAlignment="1" applyProtection="1">
      <alignment horizontal="left" vertical="top"/>
    </xf>
    <xf numFmtId="49" fontId="8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 applyProtection="1"/>
    <xf numFmtId="0" fontId="14" fillId="0" borderId="0" xfId="0" applyFont="1" applyFill="1" applyAlignment="1" applyProtection="1">
      <alignment horizontal="left"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horizontal="left"/>
    </xf>
    <xf numFmtId="0" fontId="8" fillId="0" borderId="0" xfId="0" applyFont="1" applyFill="1" applyAlignment="1"/>
    <xf numFmtId="0" fontId="0" fillId="0" borderId="0" xfId="0" applyFill="1" applyAlignment="1"/>
    <xf numFmtId="0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8" fillId="0" borderId="0" xfId="0" applyFont="1" applyFill="1" applyBorder="1" applyAlignment="1"/>
    <xf numFmtId="0" fontId="18" fillId="0" borderId="16" xfId="0" applyFont="1" applyFill="1" applyBorder="1" applyAlignment="1">
      <alignment horizontal="left" vertical="top" wrapText="1"/>
    </xf>
    <xf numFmtId="0" fontId="19" fillId="0" borderId="16" xfId="0" applyFont="1" applyFill="1" applyBorder="1" applyAlignment="1">
      <alignment horizontal="left" vertical="top" wrapText="1"/>
    </xf>
    <xf numFmtId="0" fontId="19" fillId="0" borderId="0" xfId="0" applyFont="1" applyFill="1" applyAlignment="1">
      <alignment vertical="top" wrapText="1"/>
    </xf>
    <xf numFmtId="49" fontId="20" fillId="6" borderId="0" xfId="0" applyNumberFormat="1" applyFont="1" applyFill="1" applyAlignment="1">
      <alignment horizontal="left"/>
    </xf>
    <xf numFmtId="0" fontId="8" fillId="5" borderId="0" xfId="0" applyFont="1" applyFill="1" applyAlignment="1"/>
    <xf numFmtId="176" fontId="8" fillId="0" borderId="0" xfId="0" applyNumberFormat="1" applyFont="1" applyFill="1" applyBorder="1" applyAlignment="1">
      <alignment vertical="center"/>
    </xf>
    <xf numFmtId="0" fontId="8" fillId="6" borderId="0" xfId="0" applyFont="1" applyFill="1" applyAlignment="1"/>
    <xf numFmtId="0" fontId="8" fillId="0" borderId="0" xfId="0" applyFont="1" applyFill="1" applyAlignment="1">
      <alignment wrapText="1"/>
    </xf>
    <xf numFmtId="0" fontId="21" fillId="7" borderId="17" xfId="0" applyFont="1" applyFill="1" applyBorder="1" applyAlignment="1"/>
    <xf numFmtId="0" fontId="22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0" fontId="21" fillId="8" borderId="17" xfId="0" applyFont="1" applyFill="1" applyBorder="1" applyAlignment="1"/>
    <xf numFmtId="49" fontId="8" fillId="0" borderId="0" xfId="0" applyNumberFormat="1" applyFont="1" applyFill="1" applyAlignment="1"/>
    <xf numFmtId="0" fontId="19" fillId="0" borderId="0" xfId="0" applyFont="1" applyFill="1" applyAlignment="1">
      <alignment horizontal="left" vertical="top" wrapText="1"/>
    </xf>
    <xf numFmtId="0" fontId="23" fillId="5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49" fontId="8" fillId="0" borderId="0" xfId="0" applyNumberFormat="1" applyFont="1" applyFill="1" applyAlignment="1">
      <alignment horizontal="left"/>
    </xf>
    <xf numFmtId="0" fontId="21" fillId="8" borderId="18" xfId="0" applyFont="1" applyFill="1" applyBorder="1" applyAlignment="1"/>
    <xf numFmtId="0" fontId="21" fillId="7" borderId="18" xfId="0" applyFont="1" applyFill="1" applyBorder="1" applyAlignment="1"/>
    <xf numFmtId="0" fontId="23" fillId="0" borderId="0" xfId="0" applyFont="1" applyFill="1" applyAlignment="1">
      <alignment horizontal="center" vertical="center"/>
    </xf>
    <xf numFmtId="0" fontId="20" fillId="8" borderId="18" xfId="0" applyFont="1" applyFill="1" applyBorder="1" applyAlignment="1"/>
    <xf numFmtId="0" fontId="20" fillId="0" borderId="0" xfId="0" applyFont="1" applyFill="1" applyBorder="1" applyAlignment="1">
      <alignment vertical="center"/>
    </xf>
    <xf numFmtId="0" fontId="21" fillId="9" borderId="0" xfId="0" applyNumberFormat="1" applyFont="1" applyFill="1" applyBorder="1" applyAlignment="1">
      <alignment horizontal="center" vertical="center"/>
    </xf>
    <xf numFmtId="0" fontId="7" fillId="9" borderId="0" xfId="0" applyNumberFormat="1" applyFont="1" applyFill="1" applyBorder="1" applyAlignment="1">
      <alignment horizontal="center" vertical="center"/>
    </xf>
    <xf numFmtId="0" fontId="21" fillId="9" borderId="0" xfId="0" applyNumberFormat="1" applyFont="1" applyFill="1" applyBorder="1" applyAlignment="1">
      <alignment horizontal="center" vertical="center" wrapText="1"/>
    </xf>
    <xf numFmtId="0" fontId="21" fillId="5" borderId="0" xfId="0" applyNumberFormat="1" applyFont="1" applyFill="1" applyBorder="1" applyAlignment="1">
      <alignment horizontal="center" vertical="center" wrapText="1"/>
    </xf>
    <xf numFmtId="0" fontId="24" fillId="0" borderId="0" xfId="6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 quotePrefix="1">
      <alignment horizontal="left" vertical="top"/>
    </xf>
    <xf numFmtId="0" fontId="12" fillId="4" borderId="9" xfId="0" applyFont="1" applyFill="1" applyBorder="1" applyAlignment="1" applyProtection="1" quotePrefix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3" xfId="49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E4F9E5"/>
        </patternFill>
      </fill>
    </dxf>
    <dxf>
      <font>
        <b val="1"/>
        <i val="0"/>
        <u val="none"/>
        <sz val="11"/>
        <color rgb="FF5FC357"/>
      </font>
      <fill>
        <patternFill patternType="solid">
          <bgColor rgb="FFDEF5DE"/>
        </patternFill>
      </fill>
      <border>
        <left/>
        <right/>
        <top style="medium">
          <color rgb="FF5FC357"/>
        </top>
        <bottom style="medium">
          <color rgb="FF5FC357"/>
        </bottom>
        <vertical/>
        <horizontal/>
      </border>
    </dxf>
    <dxf>
      <fill>
        <patternFill patternType="none"/>
      </fill>
      <border>
        <left/>
        <right/>
        <top/>
        <bottom style="medium">
          <color rgb="FF5FC357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solid">
          <bgColor rgb="FFDEF5DE"/>
        </patternFill>
      </fill>
    </dxf>
    <dxf>
      <font>
        <b val="1"/>
        <i val="0"/>
        <u val="none"/>
        <sz val="11"/>
        <color theme="0"/>
      </font>
      <fill>
        <patternFill patternType="solid">
          <bgColor rgb="FF2A9B3A"/>
        </patternFill>
      </fill>
      <border>
        <left style="medium">
          <color rgb="FF2A9B3A"/>
        </left>
        <right style="medium">
          <color rgb="FF2A9B3A"/>
        </right>
        <top style="medium">
          <color rgb="FF2A9B3A"/>
        </top>
        <bottom style="medium">
          <color rgb="FF2A9B3A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none"/>
      </fill>
      <border>
        <left/>
        <right/>
        <top/>
        <bottom style="medium">
          <color rgb="FF2A9B3A"/>
        </bottom>
        <vertical style="dashed">
          <color rgb="FF2A9B3A"/>
        </vertical>
        <horizontal style="dashed">
          <color rgb="FF2A9B3A"/>
        </horizontal>
      </border>
    </dxf>
    <dxf>
      <fill>
        <patternFill patternType="solid">
          <bgColor rgb="FFDCEDF5"/>
        </patternFill>
      </fill>
      <border>
        <left style="medium">
          <color rgb="FF3BA5D3"/>
        </left>
        <right style="medium">
          <color rgb="FF3BA5D3"/>
        </right>
        <top style="thin">
          <color rgb="FF3BA5D3"/>
        </top>
        <bottom style="thin">
          <color rgb="FF3BA5D3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3BA5D3"/>
        </patternFill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/>
        <vertical style="thin">
          <color rgb="FFFFFFFF"/>
        </vertical>
        <horizontal/>
      </border>
    </dxf>
    <dxf>
      <fill>
        <patternFill patternType="none"/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 style="medium">
          <color rgb="FF3BA5D3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thin">
          <color theme="0"/>
        </top>
        <bottom style="medium">
          <color rgb="FF80A856"/>
        </bottom>
        <vertical/>
        <horizontal/>
      </border>
    </dxf>
    <dxf>
      <fill>
        <patternFill patternType="solid">
          <bgColor rgb="FFE6F4DD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/>
        <horizontal style="thin">
          <color theme="0"/>
        </horizontal>
      </border>
    </dxf>
    <dxf>
      <fill>
        <patternFill patternType="none"/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 style="medium">
          <color rgb="FF80A856"/>
        </vertical>
        <horizontal style="dashed">
          <color rgb="FF80A856"/>
        </horizontal>
      </border>
    </dxf>
    <dxf>
      <fill>
        <patternFill patternType="solid">
          <bgColor rgb="FFF5F5F5"/>
        </patternFill>
      </fill>
    </dxf>
    <dxf>
      <font>
        <b val="0"/>
        <i val="0"/>
        <u val="none"/>
        <sz val="11"/>
        <color auto="1"/>
      </font>
      <fill>
        <patternFill patternType="solid">
          <bgColor rgb="FFFFE5E5"/>
        </patternFill>
      </fill>
      <border>
        <left style="medium">
          <color rgb="FFC70F00"/>
        </left>
        <right/>
        <top/>
        <bottom style="medium">
          <color rgb="FFC70F00"/>
        </bottom>
        <vertical/>
        <horizontal style="dashed">
          <color rgb="FFC70F00"/>
        </horizontal>
      </border>
    </dxf>
    <dxf>
      <font>
        <b val="1"/>
        <i val="0"/>
        <u val="none"/>
        <sz val="11"/>
        <color theme="0"/>
      </font>
      <fill>
        <patternFill patternType="solid">
          <bgColor rgb="FFC70F00"/>
        </patternFill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/>
      </border>
    </dxf>
    <dxf>
      <fill>
        <patternFill patternType="none"/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 style="dashed">
          <color rgb="FFC70F00"/>
        </horizontal>
      </border>
    </dxf>
  </dxfs>
  <tableStyles count="5" defaultTableStyle="TableStyleMedium2" defaultPivotStyle="PivotStyleLight16">
    <tableStyle name="绿色中色系三线式镶边行表格样式" count="3" xr9:uid="{9787EC5E-716F-4AD9-BE3A-40ECA74CA36E}">
      <tableStyleElement type="wholeTable" dxfId="4"/>
      <tableStyleElement type="headerRow" dxfId="3"/>
      <tableStyleElement type="secondRowStripe" dxfId="2"/>
    </tableStyle>
    <tableStyle name="绿色深色系标题行尾列表格样式" count="3" xr9:uid="{6838323D-8291-4E27-9807-0990123998EA}">
      <tableStyleElement type="wholeTable" dxfId="7"/>
      <tableStyleElement type="headerRow" dxfId="6"/>
      <tableStyleElement type="lastColumn" dxfId="5"/>
    </tableStyle>
    <tableStyle name="蓝色中色系标题行镶边行表格样式" count="3" xr9:uid="{CC5745CC-331F-4FE5-855D-05C3379B6278}">
      <tableStyleElement type="wholeTable" dxfId="10"/>
      <tableStyleElement type="headerRow" dxfId="9"/>
      <tableStyleElement type="secondRowStripe" dxfId="8"/>
    </tableStyle>
    <tableStyle name="抹茶绿色中色系首列镶边行表格样式" count="4" xr9:uid="{27041D57-0B0F-4524-84B3-7A2D6857AC54}">
      <tableStyleElement type="wholeTable" dxfId="14"/>
      <tableStyleElement type="firstColumn" dxfId="13"/>
      <tableStyleElement type="firstRowStripe" dxfId="12"/>
      <tableStyleElement type="firstTotalCell" dxfId="11"/>
    </tableStyle>
    <tableStyle name="红色深色系标题行镶边行首列表格样式" count="4" xr9:uid="{E683BD9F-781A-40FB-A28B-A0BEB08F476F}">
      <tableStyleElement type="wholeTable" dxfId="18"/>
      <tableStyleElement type="headerRow" dxfId="17"/>
      <tableStyleElement type="firstColumn" dxfId="16"/>
      <tableStyleElement type="firstRowStripe" dxfId="15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34"/>
  <sheetViews>
    <sheetView tabSelected="1" workbookViewId="0">
      <selection activeCell="B14" sqref="B14"/>
    </sheetView>
  </sheetViews>
  <sheetFormatPr defaultColWidth="11" defaultRowHeight="14.25"/>
  <cols>
    <col min="1" max="1" width="26.2666666666667" style="57" customWidth="1"/>
    <col min="2" max="2" width="32" style="57" customWidth="1"/>
    <col min="3" max="3" width="15.3833333333333" style="57" customWidth="1"/>
    <col min="4" max="9" width="8.50833333333333" style="57" customWidth="1"/>
    <col min="10" max="10" width="10.625" style="57" customWidth="1"/>
    <col min="11" max="14" width="8.50833333333333" style="57" customWidth="1"/>
    <col min="15" max="15" width="10.6333333333333" style="57" customWidth="1"/>
    <col min="16" max="16" width="11.2583333333333" style="57" customWidth="1"/>
    <col min="17" max="17" width="11" style="57"/>
    <col min="18" max="18" width="8.75" style="57" customWidth="1"/>
    <col min="19" max="16384" width="11" style="57"/>
  </cols>
  <sheetData>
    <row r="1" s="57" customFormat="1" ht="26" customHeight="1" spans="1:17">
      <c r="A1" s="61" t="s">
        <v>0</v>
      </c>
      <c r="B1" s="62" t="s">
        <v>1</v>
      </c>
      <c r="C1" s="62" t="s">
        <v>2</v>
      </c>
      <c r="D1" s="63" t="s">
        <v>3</v>
      </c>
      <c r="E1" s="64"/>
      <c r="F1" s="64"/>
      <c r="G1" s="64"/>
      <c r="H1" s="64"/>
      <c r="I1" s="64"/>
      <c r="J1" s="64"/>
      <c r="Q1" s="65"/>
    </row>
    <row r="2" s="57" customFormat="1" ht="15.75" customHeight="1" spans="1:17">
      <c r="A2" s="66" t="s">
        <v>4</v>
      </c>
      <c r="B2" s="20" t="s">
        <v>5</v>
      </c>
      <c r="C2" s="62"/>
      <c r="D2" s="64"/>
      <c r="E2" s="64"/>
      <c r="F2" s="64"/>
      <c r="G2" s="64"/>
      <c r="H2" s="64"/>
      <c r="I2" s="64"/>
      <c r="J2" s="64"/>
      <c r="Q2" s="65"/>
    </row>
    <row r="3" s="57" customFormat="1" ht="15.75" customHeight="1" spans="1:17">
      <c r="A3" s="67" t="s">
        <v>6</v>
      </c>
      <c r="B3" s="68" t="str">
        <f>VLOOKUP(B2,FBA地址库编码表!A:D,4,0)</f>
        <v>BHX4 Amazon</v>
      </c>
      <c r="C3" s="62" t="s">
        <v>2</v>
      </c>
      <c r="D3" s="64"/>
      <c r="E3" s="64"/>
      <c r="F3" s="64"/>
      <c r="G3" s="64"/>
      <c r="H3" s="64"/>
      <c r="I3" s="64"/>
      <c r="J3" s="64"/>
      <c r="Q3" s="65"/>
    </row>
    <row r="4" s="57" customFormat="1" ht="15.75" customHeight="1" spans="1:17">
      <c r="A4" s="69" t="s">
        <v>7</v>
      </c>
      <c r="B4" s="68" t="str">
        <f>VLOOKUP(B2,FBA地址库编码表!A:E,5,0)</f>
        <v>BHX4 AMAZON</v>
      </c>
      <c r="C4" s="62"/>
      <c r="D4" s="64"/>
      <c r="E4" s="64"/>
      <c r="F4" s="64"/>
      <c r="G4" s="64"/>
      <c r="H4" s="64"/>
      <c r="I4" s="64"/>
      <c r="J4" s="64"/>
      <c r="Q4" s="65"/>
    </row>
    <row r="5" s="57" customFormat="1" ht="15.75" customHeight="1" spans="1:17">
      <c r="A5" s="67" t="s">
        <v>8</v>
      </c>
      <c r="B5" s="68" t="str">
        <f>VLOOKUP(B2,FBA地址库编码表!A:H,8,0)</f>
        <v>Plot 1, Lyons Park,</v>
      </c>
      <c r="C5" s="62" t="s">
        <v>2</v>
      </c>
      <c r="D5" s="64"/>
      <c r="E5" s="64"/>
      <c r="F5" s="64"/>
      <c r="G5" s="64"/>
      <c r="H5" s="64"/>
      <c r="I5" s="64"/>
      <c r="J5" s="64"/>
      <c r="K5" s="70"/>
      <c r="Q5" s="65"/>
    </row>
    <row r="6" s="57" customFormat="1" customHeight="1" spans="1:17">
      <c r="A6" s="69" t="s">
        <v>9</v>
      </c>
      <c r="B6" s="68" t="str">
        <f>VLOOKUP(B2,FBA地址库编码表!A:I,9,0)</f>
        <v>Sayer Dr</v>
      </c>
      <c r="C6" s="62"/>
      <c r="D6" s="64"/>
      <c r="E6" s="64"/>
      <c r="F6" s="64"/>
      <c r="G6" s="64"/>
      <c r="H6" s="64"/>
      <c r="I6" s="64"/>
      <c r="J6" s="64"/>
      <c r="Q6" s="65"/>
    </row>
    <row r="7" s="57" customFormat="1" spans="1:17">
      <c r="A7" s="69" t="s">
        <v>10</v>
      </c>
      <c r="B7" s="68">
        <f>VLOOKUP(B2,FBA地址库编码表!A:J,10,0)</f>
        <v>0</v>
      </c>
      <c r="C7" s="62"/>
      <c r="D7" s="64"/>
      <c r="E7" s="64"/>
      <c r="F7" s="64"/>
      <c r="G7" s="64"/>
      <c r="H7" s="64"/>
      <c r="I7" s="64"/>
      <c r="J7" s="64"/>
      <c r="Q7" s="65"/>
    </row>
    <row r="8" s="57" customFormat="1" spans="1:17">
      <c r="A8" s="67" t="s">
        <v>11</v>
      </c>
      <c r="B8" s="68" t="str">
        <f>VLOOKUP(B2,FBA地址库编码表!A:K,11,0)</f>
        <v>COVENTRY</v>
      </c>
      <c r="C8" s="62" t="s">
        <v>2</v>
      </c>
      <c r="D8" s="64"/>
      <c r="E8" s="64"/>
      <c r="F8" s="64"/>
      <c r="G8" s="64"/>
      <c r="H8" s="64"/>
      <c r="I8" s="64"/>
      <c r="J8" s="64"/>
      <c r="Q8" s="65"/>
    </row>
    <row r="9" s="57" customFormat="1" customHeight="1" spans="1:17">
      <c r="A9" s="69" t="s">
        <v>12</v>
      </c>
      <c r="B9" s="68">
        <f>VLOOKUP(B2,FBA地址库编码表!A:L,12,0)</f>
        <v>0</v>
      </c>
      <c r="C9" s="62"/>
      <c r="D9" s="64"/>
      <c r="E9" s="64"/>
      <c r="F9" s="64"/>
      <c r="G9" s="64"/>
      <c r="H9" s="64"/>
      <c r="I9" s="64"/>
      <c r="J9" s="64"/>
      <c r="Q9" s="65"/>
    </row>
    <row r="10" s="57" customFormat="1" customHeight="1" spans="1:17">
      <c r="A10" s="67" t="s">
        <v>13</v>
      </c>
      <c r="B10" s="68" t="str">
        <f>VLOOKUP(B2,FBA地址库编码表!A:N,14,0)</f>
        <v>CV5 9PF</v>
      </c>
      <c r="C10" s="62" t="s">
        <v>2</v>
      </c>
      <c r="D10" s="64"/>
      <c r="E10" s="64"/>
      <c r="F10" s="64"/>
      <c r="G10" s="64"/>
      <c r="H10" s="64"/>
      <c r="I10" s="64"/>
      <c r="J10" s="64"/>
      <c r="Q10" s="65"/>
    </row>
    <row r="11" s="57" customFormat="1" customHeight="1" spans="1:17">
      <c r="A11" s="67" t="s">
        <v>14</v>
      </c>
      <c r="B11" s="68" t="str">
        <f>VLOOKUP(B2,FBA地址库编码表!A:M,13,0)</f>
        <v>GB</v>
      </c>
      <c r="C11" s="62" t="s">
        <v>2</v>
      </c>
      <c r="D11" s="64"/>
      <c r="E11" s="64"/>
      <c r="F11" s="64"/>
      <c r="G11" s="64"/>
      <c r="H11" s="64"/>
      <c r="I11" s="64"/>
      <c r="J11" s="64"/>
      <c r="Q11" s="65"/>
    </row>
    <row r="12" s="57" customFormat="1" spans="1:17">
      <c r="A12" s="69" t="s">
        <v>15</v>
      </c>
      <c r="B12" s="68" t="str">
        <f>VLOOKUP(B2,FBA地址库编码表!A:F,6,0)</f>
        <v>88888</v>
      </c>
      <c r="C12" s="62"/>
      <c r="D12" s="64"/>
      <c r="E12" s="64"/>
      <c r="F12" s="64"/>
      <c r="G12" s="64"/>
      <c r="H12" s="64"/>
      <c r="I12" s="64"/>
      <c r="J12" s="64"/>
      <c r="Q12" s="65"/>
    </row>
    <row r="13" s="57" customFormat="1" spans="1:17">
      <c r="A13" s="69" t="s">
        <v>16</v>
      </c>
      <c r="B13" s="68"/>
      <c r="C13" s="62"/>
      <c r="D13" s="64"/>
      <c r="E13" s="64"/>
      <c r="F13" s="64"/>
      <c r="G13" s="64"/>
      <c r="H13" s="64"/>
      <c r="I13" s="64"/>
      <c r="J13" s="64"/>
      <c r="Q13" s="65"/>
    </row>
    <row r="14" s="57" customFormat="1" ht="30" customHeight="1" spans="1:17">
      <c r="A14" s="67" t="s">
        <v>17</v>
      </c>
      <c r="B14" s="68" t="s">
        <v>18</v>
      </c>
      <c r="C14" s="62" t="s">
        <v>2</v>
      </c>
      <c r="D14" s="64"/>
      <c r="E14" s="64"/>
      <c r="F14" s="64"/>
      <c r="G14" s="64"/>
      <c r="H14" s="64"/>
      <c r="I14" s="64"/>
      <c r="J14" s="64"/>
      <c r="Q14" s="65"/>
    </row>
    <row r="15" s="57" customFormat="1" spans="1:17">
      <c r="A15" s="71" t="s">
        <v>19</v>
      </c>
      <c r="B15" s="72" t="s">
        <v>20</v>
      </c>
      <c r="C15" s="62" t="s">
        <v>2</v>
      </c>
      <c r="D15" s="64"/>
      <c r="E15" s="64"/>
      <c r="F15" s="64"/>
      <c r="G15" s="64"/>
      <c r="H15" s="64"/>
      <c r="I15" s="64"/>
      <c r="J15" s="64"/>
      <c r="Q15" s="65"/>
    </row>
    <row r="16" s="57" customFormat="1" spans="1:17">
      <c r="A16" s="71" t="s">
        <v>21</v>
      </c>
      <c r="B16" s="73" t="s">
        <v>22</v>
      </c>
      <c r="C16" s="62" t="s">
        <v>2</v>
      </c>
      <c r="D16" s="64"/>
      <c r="E16" s="64"/>
      <c r="F16" s="64"/>
      <c r="G16" s="64"/>
      <c r="H16" s="64"/>
      <c r="I16" s="64"/>
      <c r="J16" s="64"/>
    </row>
    <row r="17" s="58" customFormat="1" spans="1:21">
      <c r="A17" s="74" t="s">
        <v>23</v>
      </c>
      <c r="B17" s="73" t="s">
        <v>24</v>
      </c>
      <c r="C17" s="62" t="s">
        <v>2</v>
      </c>
      <c r="D17" s="57"/>
      <c r="E17" s="57"/>
      <c r="F17" s="57"/>
      <c r="G17" s="57"/>
      <c r="H17" s="75"/>
      <c r="I17" s="57"/>
      <c r="J17" s="57"/>
      <c r="K17" s="57"/>
      <c r="L17" s="76"/>
      <c r="M17" s="76"/>
      <c r="N17" s="76"/>
      <c r="O17" s="76"/>
      <c r="P17" s="76"/>
      <c r="Q17" s="57"/>
      <c r="R17" s="76"/>
      <c r="S17" s="57"/>
      <c r="T17" s="57"/>
      <c r="U17" s="57"/>
    </row>
    <row r="18" s="58" customFormat="1" spans="1:21">
      <c r="A18" s="74" t="s">
        <v>25</v>
      </c>
      <c r="B18" s="73" t="s">
        <v>26</v>
      </c>
      <c r="C18" s="77" t="s">
        <v>27</v>
      </c>
      <c r="D18" s="57"/>
      <c r="E18" s="57"/>
      <c r="F18" s="57"/>
      <c r="G18" s="57"/>
      <c r="H18" s="75"/>
      <c r="I18" s="57"/>
      <c r="J18" s="57"/>
      <c r="K18" s="57"/>
      <c r="L18" s="76"/>
      <c r="M18" s="76"/>
      <c r="N18" s="76"/>
      <c r="O18" s="76"/>
      <c r="P18" s="76"/>
      <c r="Q18" s="57"/>
      <c r="R18" s="76"/>
      <c r="S18" s="57"/>
      <c r="T18" s="57"/>
      <c r="U18" s="57"/>
    </row>
    <row r="19" s="58" customFormat="1" spans="1:21">
      <c r="A19" s="74" t="s">
        <v>28</v>
      </c>
      <c r="B19" s="73" t="s">
        <v>29</v>
      </c>
      <c r="C19" s="77"/>
      <c r="D19" s="57"/>
      <c r="E19" s="78"/>
      <c r="F19" s="78"/>
      <c r="G19" s="78"/>
      <c r="H19" s="79"/>
      <c r="I19" s="78"/>
      <c r="J19" s="78"/>
      <c r="K19" s="78"/>
      <c r="L19" s="76"/>
      <c r="M19" s="76"/>
      <c r="N19" s="76"/>
      <c r="O19" s="76"/>
      <c r="P19" s="76"/>
      <c r="Q19" s="57"/>
      <c r="R19" s="76"/>
      <c r="S19" s="57"/>
      <c r="T19" s="57"/>
      <c r="U19" s="57"/>
    </row>
    <row r="20" s="58" customFormat="1" spans="1:21">
      <c r="A20" s="80" t="s">
        <v>30</v>
      </c>
      <c r="B20" s="73" t="s">
        <v>31</v>
      </c>
      <c r="C20" s="77"/>
      <c r="D20" s="57"/>
      <c r="E20" s="78"/>
      <c r="F20" s="78" t="s">
        <v>32</v>
      </c>
      <c r="G20" s="78"/>
      <c r="H20" s="79"/>
      <c r="I20" s="78"/>
      <c r="J20" s="78"/>
      <c r="K20" s="78"/>
      <c r="L20" s="76"/>
      <c r="M20" s="76"/>
      <c r="N20" s="76"/>
      <c r="O20" s="76"/>
      <c r="P20" s="76"/>
      <c r="Q20" s="57"/>
      <c r="R20" s="76"/>
      <c r="S20" s="57"/>
      <c r="T20" s="57"/>
      <c r="U20" s="57"/>
    </row>
    <row r="21" s="58" customFormat="1" spans="1:21">
      <c r="A21" s="80" t="s">
        <v>33</v>
      </c>
      <c r="B21" s="73"/>
      <c r="C21" s="77"/>
      <c r="D21" s="57"/>
      <c r="E21" s="78"/>
      <c r="F21" s="78"/>
      <c r="G21" s="78"/>
      <c r="H21" s="79"/>
      <c r="I21" s="78"/>
      <c r="J21" s="78"/>
      <c r="K21" s="78"/>
      <c r="L21" s="76"/>
      <c r="M21" s="76"/>
      <c r="N21" s="76"/>
      <c r="O21" s="76"/>
      <c r="P21" s="76"/>
      <c r="Q21" s="57"/>
      <c r="R21" s="76"/>
      <c r="S21" s="57"/>
      <c r="T21" s="57"/>
      <c r="U21" s="57"/>
    </row>
    <row r="22" s="58" customFormat="1" spans="1:21">
      <c r="A22" s="80" t="s">
        <v>34</v>
      </c>
      <c r="B22" s="73"/>
      <c r="C22" s="77"/>
      <c r="D22" s="57"/>
      <c r="E22" s="78"/>
      <c r="F22" s="78"/>
      <c r="G22" s="78"/>
      <c r="H22" s="79"/>
      <c r="I22" s="78"/>
      <c r="J22" s="78"/>
      <c r="K22" s="78"/>
      <c r="L22" s="76"/>
      <c r="M22" s="76"/>
      <c r="N22" s="76"/>
      <c r="O22" s="76"/>
      <c r="P22" s="76"/>
      <c r="Q22" s="57"/>
      <c r="R22" s="76"/>
      <c r="S22" s="57"/>
      <c r="T22" s="57"/>
      <c r="U22" s="57"/>
    </row>
    <row r="23" s="58" customFormat="1" spans="1:21">
      <c r="A23" s="80" t="s">
        <v>35</v>
      </c>
      <c r="B23" s="73"/>
      <c r="C23" s="77"/>
      <c r="D23" s="57"/>
      <c r="E23" s="78"/>
      <c r="F23" s="78"/>
      <c r="G23" s="78"/>
      <c r="H23" s="79"/>
      <c r="I23" s="78"/>
      <c r="J23" s="78"/>
      <c r="K23" s="78"/>
      <c r="L23" s="76"/>
      <c r="M23" s="76"/>
      <c r="N23" s="76"/>
      <c r="O23" s="76"/>
      <c r="P23" s="76"/>
      <c r="Q23" s="57"/>
      <c r="R23" s="76"/>
      <c r="S23" s="57"/>
      <c r="T23" s="57"/>
      <c r="U23" s="57"/>
    </row>
    <row r="24" s="58" customFormat="1" ht="18" spans="1:21">
      <c r="A24" s="81" t="s">
        <v>36</v>
      </c>
      <c r="B24" s="73"/>
      <c r="C24" s="82"/>
      <c r="D24" s="57"/>
      <c r="E24" s="78"/>
      <c r="F24" s="78"/>
      <c r="G24" s="78"/>
      <c r="H24" s="79"/>
      <c r="I24" s="78"/>
      <c r="J24" s="78"/>
      <c r="K24" s="78"/>
      <c r="L24" s="76"/>
      <c r="M24" s="76"/>
      <c r="N24" s="76"/>
      <c r="O24" s="76"/>
      <c r="P24" s="76"/>
      <c r="Q24" s="57"/>
      <c r="R24" s="76"/>
      <c r="S24" s="57"/>
      <c r="T24" s="57"/>
      <c r="U24" s="57"/>
    </row>
    <row r="25" s="58" customFormat="1" ht="18" spans="1:21">
      <c r="A25" s="83" t="s">
        <v>37</v>
      </c>
      <c r="B25" s="78"/>
      <c r="C25" s="82"/>
      <c r="D25" s="57"/>
      <c r="E25" s="78"/>
      <c r="F25" s="78"/>
      <c r="G25" s="78"/>
      <c r="H25" s="79"/>
      <c r="I25" s="78"/>
      <c r="J25" s="78"/>
      <c r="K25" s="78"/>
      <c r="L25" s="76"/>
      <c r="M25" s="76"/>
      <c r="N25" s="76"/>
      <c r="O25" s="76"/>
      <c r="P25" s="76"/>
      <c r="Q25" s="57"/>
      <c r="R25" s="76"/>
      <c r="S25" s="57"/>
      <c r="T25" s="57"/>
      <c r="U25" s="57"/>
    </row>
    <row r="26" s="58" customFormat="1" ht="25" customHeight="1" spans="1:21">
      <c r="A26" s="80" t="s">
        <v>38</v>
      </c>
      <c r="B26" s="84">
        <v>54</v>
      </c>
      <c r="C26" s="62"/>
      <c r="D26" s="57"/>
      <c r="E26" s="78"/>
      <c r="F26" s="78"/>
      <c r="G26" s="78"/>
      <c r="H26" s="79"/>
      <c r="I26" s="78"/>
      <c r="J26" s="78"/>
      <c r="K26" s="78"/>
      <c r="L26" s="76"/>
      <c r="M26" s="76"/>
      <c r="N26" s="76"/>
      <c r="O26" s="76"/>
      <c r="P26" s="76"/>
      <c r="Q26" s="57"/>
      <c r="R26" s="76"/>
      <c r="S26" s="57"/>
      <c r="T26" s="57"/>
      <c r="U26" s="57"/>
    </row>
    <row r="27" s="59" customFormat="1" ht="39" customHeight="1" spans="1:21">
      <c r="A27" s="85" t="s">
        <v>39</v>
      </c>
      <c r="B27" s="86" t="s">
        <v>40</v>
      </c>
      <c r="C27" s="85" t="s">
        <v>41</v>
      </c>
      <c r="D27" s="87" t="s">
        <v>42</v>
      </c>
      <c r="E27" s="87" t="s">
        <v>43</v>
      </c>
      <c r="F27" s="87" t="s">
        <v>44</v>
      </c>
      <c r="G27" s="87" t="s">
        <v>45</v>
      </c>
      <c r="H27" s="87" t="s">
        <v>46</v>
      </c>
      <c r="I27" s="87" t="s">
        <v>47</v>
      </c>
      <c r="J27" s="87" t="s">
        <v>48</v>
      </c>
      <c r="K27" s="85" t="s">
        <v>49</v>
      </c>
      <c r="L27" s="85" t="s">
        <v>50</v>
      </c>
      <c r="M27" s="86" t="s">
        <v>51</v>
      </c>
      <c r="N27" s="86" t="s">
        <v>52</v>
      </c>
      <c r="O27" s="86" t="s">
        <v>53</v>
      </c>
      <c r="P27" s="86" t="s">
        <v>54</v>
      </c>
      <c r="Q27" s="88" t="s">
        <v>55</v>
      </c>
      <c r="R27" s="87" t="s">
        <v>56</v>
      </c>
      <c r="S27" s="88" t="s">
        <v>57</v>
      </c>
    </row>
    <row r="28" s="59" customFormat="1" ht="35" customHeight="1" spans="1:21">
      <c r="A28" s="59" t="s">
        <v>58</v>
      </c>
      <c r="B28" s="59" t="s">
        <v>59</v>
      </c>
      <c r="C28" s="59" t="s">
        <v>60</v>
      </c>
      <c r="D28" s="59">
        <v>27</v>
      </c>
      <c r="E28" s="59">
        <v>6.75033</v>
      </c>
      <c r="F28" s="59">
        <v>14.68</v>
      </c>
      <c r="G28" s="59">
        <v>41</v>
      </c>
      <c r="H28" s="59">
        <v>41</v>
      </c>
      <c r="I28" s="59">
        <v>46.4</v>
      </c>
      <c r="J28" s="59">
        <v>8539510000</v>
      </c>
      <c r="K28" s="59" t="s">
        <v>61</v>
      </c>
      <c r="L28" s="59" t="s">
        <v>62</v>
      </c>
      <c r="M28" s="59" t="s">
        <v>63</v>
      </c>
      <c r="N28" s="59" t="s">
        <v>64</v>
      </c>
      <c r="O28" s="89" t="s">
        <v>65</v>
      </c>
      <c r="P28" s="90" t="str">
        <f>_xlfn.DISPIMG("ID_DD27C5829E6146099C6391DC3DFCD70A",1)</f>
        <v>=DISPIMG("ID_DD27C5829E6146099C6391DC3DFCD70A",1)</v>
      </c>
      <c r="Q28" s="59" t="s">
        <v>63</v>
      </c>
      <c r="R28" s="59" t="s">
        <v>66</v>
      </c>
    </row>
    <row r="29" s="59" customFormat="1" ht="35" customHeight="1" spans="1:21">
      <c r="A29" s="59" t="s">
        <v>67</v>
      </c>
      <c r="B29" s="59" t="s">
        <v>59</v>
      </c>
      <c r="C29" s="59" t="s">
        <v>60</v>
      </c>
      <c r="D29" s="59">
        <v>27</v>
      </c>
      <c r="E29" s="59">
        <v>6.75033</v>
      </c>
      <c r="F29" s="59">
        <v>14.68</v>
      </c>
      <c r="G29" s="59">
        <v>41</v>
      </c>
      <c r="H29" s="59">
        <v>41</v>
      </c>
      <c r="I29" s="59">
        <v>46.4</v>
      </c>
      <c r="J29" s="59">
        <v>8539510000</v>
      </c>
      <c r="K29" s="59" t="s">
        <v>61</v>
      </c>
      <c r="L29" s="59" t="s">
        <v>62</v>
      </c>
      <c r="M29" s="59" t="s">
        <v>63</v>
      </c>
      <c r="N29" s="59" t="s">
        <v>64</v>
      </c>
      <c r="O29" s="89" t="s">
        <v>65</v>
      </c>
      <c r="P29" s="90" t="str">
        <f>_xlfn.DISPIMG("ID_AEF4447118A046A3892C979F4A699D94",1)</f>
        <v>=DISPIMG("ID_AEF4447118A046A3892C979F4A699D94",1)</v>
      </c>
      <c r="Q29" s="59" t="s">
        <v>63</v>
      </c>
      <c r="R29" s="59" t="s">
        <v>68</v>
      </c>
    </row>
    <row r="30" s="60" customFormat="1" ht="35" customHeight="1" spans="1:21">
      <c r="A30" s="60" t="s">
        <v>69</v>
      </c>
      <c r="B30" s="60" t="s">
        <v>70</v>
      </c>
      <c r="C30" s="60" t="s">
        <v>71</v>
      </c>
      <c r="D30" s="60">
        <v>27</v>
      </c>
      <c r="E30" s="60">
        <v>11.00337</v>
      </c>
      <c r="F30" s="60">
        <v>15.1</v>
      </c>
      <c r="G30" s="60">
        <v>45</v>
      </c>
      <c r="H30" s="60">
        <v>45.8</v>
      </c>
      <c r="I30" s="60">
        <v>43.8</v>
      </c>
      <c r="J30" s="60">
        <v>8539510000</v>
      </c>
      <c r="K30" s="60" t="s">
        <v>61</v>
      </c>
      <c r="L30" s="60" t="s">
        <v>72</v>
      </c>
      <c r="M30" s="60" t="s">
        <v>63</v>
      </c>
      <c r="N30" s="60" t="s">
        <v>64</v>
      </c>
      <c r="O30" s="60" t="s">
        <v>73</v>
      </c>
      <c r="P30" s="60" t="str">
        <f>_xlfn.DISPIMG("ID_AB50215CF8BA4B4CAEA5F36E1361669B",1)</f>
        <v>=DISPIMG("ID_AB50215CF8BA4B4CAEA5F36E1361669B",1)</v>
      </c>
      <c r="Q30" s="60" t="s">
        <v>63</v>
      </c>
      <c r="R30" s="60" t="s">
        <v>74</v>
      </c>
    </row>
    <row r="31" s="60" customFormat="1" ht="35" customHeight="1" spans="1:21">
      <c r="A31" s="60" t="s">
        <v>75</v>
      </c>
      <c r="B31" s="60" t="s">
        <v>70</v>
      </c>
      <c r="C31" s="60" t="s">
        <v>71</v>
      </c>
      <c r="D31" s="60">
        <v>27</v>
      </c>
      <c r="E31" s="60">
        <v>11.25279</v>
      </c>
      <c r="F31" s="60">
        <v>15.3</v>
      </c>
      <c r="G31" s="60">
        <v>45.6</v>
      </c>
      <c r="H31" s="60">
        <v>45.6</v>
      </c>
      <c r="I31" s="60">
        <v>43.5</v>
      </c>
      <c r="J31" s="60">
        <v>8539510000</v>
      </c>
      <c r="K31" s="60" t="s">
        <v>61</v>
      </c>
      <c r="L31" s="60" t="s">
        <v>72</v>
      </c>
      <c r="M31" s="60" t="s">
        <v>63</v>
      </c>
      <c r="N31" s="60" t="s">
        <v>64</v>
      </c>
      <c r="O31" s="60" t="s">
        <v>76</v>
      </c>
      <c r="P31" s="60" t="str">
        <f>_xlfn.DISPIMG("ID_523BFA6E44034968AA5EE55E12B4C852",1)</f>
        <v>=DISPIMG("ID_523BFA6E44034968AA5EE55E12B4C852",1)</v>
      </c>
      <c r="Q31" s="60" t="s">
        <v>63</v>
      </c>
      <c r="R31" s="60" t="s">
        <v>77</v>
      </c>
    </row>
    <row r="32" s="60" customFormat="1" ht="35" customHeight="1" spans="1:21">
      <c r="A32" s="60" t="s">
        <v>78</v>
      </c>
      <c r="B32" s="60" t="s">
        <v>70</v>
      </c>
      <c r="C32" s="60" t="s">
        <v>71</v>
      </c>
      <c r="D32" s="60">
        <v>27</v>
      </c>
      <c r="E32" s="60">
        <v>11.25279</v>
      </c>
      <c r="F32" s="60">
        <v>15.3</v>
      </c>
      <c r="G32" s="60">
        <v>45.6</v>
      </c>
      <c r="H32" s="60">
        <v>45.6</v>
      </c>
      <c r="I32" s="60">
        <v>43.5</v>
      </c>
      <c r="J32" s="60">
        <v>8539510000</v>
      </c>
      <c r="K32" s="60" t="s">
        <v>61</v>
      </c>
      <c r="L32" s="60" t="s">
        <v>72</v>
      </c>
      <c r="M32" s="60" t="s">
        <v>63</v>
      </c>
      <c r="N32" s="60" t="s">
        <v>64</v>
      </c>
      <c r="O32" s="60" t="s">
        <v>76</v>
      </c>
      <c r="P32" s="60" t="str">
        <f>_xlfn.DISPIMG("ID_CEFF81FD84E54E7ABA77B82B543C5AD4",1)</f>
        <v>=DISPIMG("ID_CEFF81FD84E54E7ABA77B82B543C5AD4",1)</v>
      </c>
      <c r="Q32" s="60" t="s">
        <v>63</v>
      </c>
      <c r="R32" s="60" t="s">
        <v>79</v>
      </c>
    </row>
    <row r="33" s="60" customFormat="1" ht="35" customHeight="1" spans="1:18">
      <c r="A33" s="60" t="s">
        <v>80</v>
      </c>
      <c r="B33" s="60" t="s">
        <v>70</v>
      </c>
      <c r="C33" s="60" t="s">
        <v>71</v>
      </c>
      <c r="D33" s="60">
        <v>27</v>
      </c>
      <c r="E33" s="60">
        <v>11.25279</v>
      </c>
      <c r="F33" s="60">
        <v>15.3</v>
      </c>
      <c r="G33" s="60">
        <v>45.6</v>
      </c>
      <c r="H33" s="60">
        <v>45.6</v>
      </c>
      <c r="I33" s="60">
        <v>43.5</v>
      </c>
      <c r="J33" s="60">
        <v>8539510000</v>
      </c>
      <c r="K33" s="60" t="s">
        <v>61</v>
      </c>
      <c r="L33" s="60" t="s">
        <v>72</v>
      </c>
      <c r="M33" s="60" t="s">
        <v>63</v>
      </c>
      <c r="N33" s="60" t="s">
        <v>64</v>
      </c>
      <c r="O33" s="60" t="s">
        <v>76</v>
      </c>
      <c r="P33" s="60" t="str">
        <f>_xlfn.DISPIMG("ID_3C843D09CFED4828A2F54FA4DCCCF73C",1)</f>
        <v>=DISPIMG("ID_3C843D09CFED4828A2F54FA4DCCCF73C",1)</v>
      </c>
      <c r="Q33" s="60" t="s">
        <v>63</v>
      </c>
      <c r="R33" s="60" t="s">
        <v>81</v>
      </c>
    </row>
    <row r="34" s="60" customFormat="1" ht="35" customHeight="1" spans="1:18">
      <c r="A34" s="60" t="s">
        <v>82</v>
      </c>
      <c r="B34" s="60" t="s">
        <v>83</v>
      </c>
      <c r="C34" s="60" t="s">
        <v>84</v>
      </c>
      <c r="D34" s="60">
        <v>36</v>
      </c>
      <c r="E34" s="60">
        <v>5.75094</v>
      </c>
      <c r="F34" s="60">
        <v>14.5</v>
      </c>
      <c r="G34" s="60">
        <v>47</v>
      </c>
      <c r="H34" s="60">
        <v>47.5</v>
      </c>
      <c r="I34" s="60">
        <v>33.2</v>
      </c>
      <c r="J34" s="60">
        <v>8539510000</v>
      </c>
      <c r="K34" s="60" t="s">
        <v>61</v>
      </c>
      <c r="L34" s="60" t="s">
        <v>85</v>
      </c>
      <c r="M34" s="60" t="s">
        <v>63</v>
      </c>
      <c r="N34" s="60" t="s">
        <v>86</v>
      </c>
      <c r="O34" s="60" t="s">
        <v>87</v>
      </c>
      <c r="P34" s="60" t="str">
        <f>_xlfn.DISPIMG("ID_F65075F31B714366AAD20435C53AEA97",1)</f>
        <v>=DISPIMG("ID_F65075F31B714366AAD20435C53AEA97",1)</v>
      </c>
      <c r="Q34" s="60" t="s">
        <v>63</v>
      </c>
      <c r="R34" s="60" t="s">
        <v>88</v>
      </c>
    </row>
  </sheetData>
  <mergeCells count="2">
    <mergeCell ref="C18:C23"/>
    <mergeCell ref="D1:J16"/>
  </mergeCells>
  <conditionalFormatting sqref="B2">
    <cfRule type="duplicateValues" dxfId="0" priority="8"/>
  </conditionalFormatting>
  <dataValidations count="5">
    <dataValidation type="list" allowBlank="1" showInputMessage="1" showErrorMessage="1" sqref="B1">
      <formula1>服务名称!$B:$B</formula1>
    </dataValidation>
    <dataValidation type="list" allowBlank="1" showInputMessage="1" showErrorMessage="1" sqref="B17">
      <formula1>"报关退税,买单报关"</formula1>
    </dataValidation>
    <dataValidation type="list" allowBlank="1" showInputMessage="1" showErrorMessage="1" sqref="B18">
      <formula1>"包税,自主税号,自税递延"</formula1>
    </dataValidation>
    <dataValidation type="list" allowBlank="1" showInputMessage="1" showErrorMessage="1" sqref="B24">
      <formula1>"英镑,美元,欧元"</formula1>
    </dataValidation>
    <dataValidation type="list" allowBlank="1" showErrorMessage="1" sqref="B15:B16">
      <formula1>"是,否"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580"/>
  <sheetViews>
    <sheetView workbookViewId="0">
      <pane ySplit="1" topLeftCell="A381" activePane="bottomLeft" state="frozen"/>
      <selection/>
      <selection pane="bottomLeft" activeCell="Q389" sqref="Q389:Q396"/>
    </sheetView>
  </sheetViews>
  <sheetFormatPr defaultColWidth="10.1333333333333" defaultRowHeight="14.25" customHeight="1"/>
  <cols>
    <col min="1" max="1" width="21.3833333333333" style="8" customWidth="1"/>
    <col min="2" max="2" width="18.75" style="8" customWidth="1"/>
    <col min="3" max="6" width="10.1333333333333" style="8" customWidth="1"/>
    <col min="7" max="7" width="15.2583333333333" style="8" customWidth="1"/>
    <col min="8" max="8" width="27.3833333333333" style="8" customWidth="1"/>
    <col min="9" max="10" width="10.1333333333333" style="8" customWidth="1"/>
    <col min="11" max="11" width="16.8583333333333" style="8" customWidth="1"/>
    <col min="12" max="13" width="10.1333333333333" style="8" customWidth="1"/>
    <col min="14" max="14" width="11.5083333333333" style="8" customWidth="1"/>
    <col min="15" max="16383" width="10.1333333333333" style="8" customWidth="1"/>
    <col min="16384" max="16384" width="10.1333333333333" style="8"/>
  </cols>
  <sheetData>
    <row r="1" s="7" customFormat="1" ht="41" customHeight="1" spans="1:14">
      <c r="A1" s="11" t="s">
        <v>89</v>
      </c>
      <c r="B1" s="12" t="s">
        <v>90</v>
      </c>
      <c r="C1" s="12" t="s">
        <v>91</v>
      </c>
      <c r="D1" s="12" t="s">
        <v>92</v>
      </c>
      <c r="E1" s="12" t="s">
        <v>93</v>
      </c>
      <c r="F1" s="12" t="s">
        <v>94</v>
      </c>
      <c r="G1" s="12" t="s">
        <v>95</v>
      </c>
      <c r="H1" s="12" t="s">
        <v>96</v>
      </c>
      <c r="I1" s="12" t="s">
        <v>97</v>
      </c>
      <c r="J1" s="12" t="s">
        <v>98</v>
      </c>
      <c r="K1" s="12" t="s">
        <v>99</v>
      </c>
      <c r="L1" s="12" t="s">
        <v>100</v>
      </c>
      <c r="M1" s="12" t="s">
        <v>101</v>
      </c>
      <c r="N1" s="13" t="s">
        <v>102</v>
      </c>
    </row>
    <row r="2" s="8" customFormat="1" ht="37" customHeight="1" spans="1:14">
      <c r="A2" s="14" t="s">
        <v>103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="8" customFormat="1" customHeight="1" spans="1:14">
      <c r="A3" s="17" t="s">
        <v>104</v>
      </c>
      <c r="B3" s="18" t="s">
        <v>104</v>
      </c>
      <c r="C3" s="18" t="s">
        <v>104</v>
      </c>
      <c r="D3" s="18" t="s">
        <v>105</v>
      </c>
      <c r="E3" s="18" t="s">
        <v>106</v>
      </c>
      <c r="F3" s="18" t="s">
        <v>107</v>
      </c>
      <c r="G3" s="18"/>
      <c r="H3" s="18" t="s">
        <v>108</v>
      </c>
      <c r="I3" s="18" t="s">
        <v>109</v>
      </c>
      <c r="J3" s="18"/>
      <c r="K3" s="18" t="s">
        <v>110</v>
      </c>
      <c r="L3" s="18"/>
      <c r="M3" s="18" t="s">
        <v>111</v>
      </c>
      <c r="N3" s="19" t="s">
        <v>112</v>
      </c>
    </row>
    <row r="4" s="8" customFormat="1" customHeight="1" spans="1:14">
      <c r="A4" s="17" t="s">
        <v>113</v>
      </c>
      <c r="B4" s="20" t="s">
        <v>113</v>
      </c>
      <c r="C4" s="20" t="s">
        <v>113</v>
      </c>
      <c r="D4" s="20" t="s">
        <v>114</v>
      </c>
      <c r="E4" s="20" t="s">
        <v>115</v>
      </c>
      <c r="F4" s="20" t="s">
        <v>107</v>
      </c>
      <c r="G4" s="20"/>
      <c r="H4" s="20" t="s">
        <v>116</v>
      </c>
      <c r="I4" s="20"/>
      <c r="J4" s="20"/>
      <c r="K4" s="20" t="s">
        <v>117</v>
      </c>
      <c r="L4" s="20"/>
      <c r="M4" s="20" t="s">
        <v>111</v>
      </c>
      <c r="N4" s="21" t="s">
        <v>118</v>
      </c>
    </row>
    <row r="5" s="8" customFormat="1" customHeight="1" spans="1:14">
      <c r="A5" s="17" t="s">
        <v>119</v>
      </c>
      <c r="B5" s="18" t="s">
        <v>119</v>
      </c>
      <c r="C5" s="18" t="s">
        <v>119</v>
      </c>
      <c r="D5" s="18" t="s">
        <v>120</v>
      </c>
      <c r="E5" s="18" t="s">
        <v>121</v>
      </c>
      <c r="F5" s="18" t="s">
        <v>107</v>
      </c>
      <c r="G5" s="18"/>
      <c r="H5" s="18" t="s">
        <v>116</v>
      </c>
      <c r="I5" s="18"/>
      <c r="J5" s="18"/>
      <c r="K5" s="18" t="s">
        <v>122</v>
      </c>
      <c r="L5" s="18"/>
      <c r="M5" s="18" t="s">
        <v>111</v>
      </c>
      <c r="N5" s="19" t="s">
        <v>123</v>
      </c>
    </row>
    <row r="6" s="8" customFormat="1" customHeight="1" spans="1:14">
      <c r="A6" s="17" t="s">
        <v>124</v>
      </c>
      <c r="B6" s="20" t="s">
        <v>124</v>
      </c>
      <c r="C6" s="20" t="s">
        <v>124</v>
      </c>
      <c r="D6" s="20" t="s">
        <v>125</v>
      </c>
      <c r="E6" s="20" t="s">
        <v>126</v>
      </c>
      <c r="F6" s="20" t="s">
        <v>107</v>
      </c>
      <c r="G6" s="20"/>
      <c r="H6" s="20" t="s">
        <v>127</v>
      </c>
      <c r="I6" s="20"/>
      <c r="J6" s="20"/>
      <c r="K6" s="20" t="s">
        <v>128</v>
      </c>
      <c r="L6" s="20"/>
      <c r="M6" s="20" t="s">
        <v>111</v>
      </c>
      <c r="N6" s="21" t="s">
        <v>129</v>
      </c>
    </row>
    <row r="7" s="8" customFormat="1" customHeight="1" spans="1:14">
      <c r="A7" s="17" t="s">
        <v>130</v>
      </c>
      <c r="B7" s="18" t="s">
        <v>130</v>
      </c>
      <c r="C7" s="18" t="s">
        <v>130</v>
      </c>
      <c r="D7" s="18" t="s">
        <v>131</v>
      </c>
      <c r="E7" s="18" t="s">
        <v>126</v>
      </c>
      <c r="F7" s="18" t="s">
        <v>107</v>
      </c>
      <c r="G7" s="18"/>
      <c r="H7" s="18" t="s">
        <v>116</v>
      </c>
      <c r="I7" s="18" t="s">
        <v>132</v>
      </c>
      <c r="J7" s="18"/>
      <c r="K7" s="18" t="s">
        <v>133</v>
      </c>
      <c r="L7" s="18"/>
      <c r="M7" s="18" t="s">
        <v>111</v>
      </c>
      <c r="N7" s="19" t="s">
        <v>134</v>
      </c>
    </row>
    <row r="8" s="8" customFormat="1" customHeight="1" spans="1:14">
      <c r="A8" s="17" t="s">
        <v>135</v>
      </c>
      <c r="B8" s="20" t="s">
        <v>135</v>
      </c>
      <c r="C8" s="20" t="s">
        <v>135</v>
      </c>
      <c r="D8" s="20" t="s">
        <v>136</v>
      </c>
      <c r="E8" s="20" t="s">
        <v>137</v>
      </c>
      <c r="F8" s="20" t="s">
        <v>107</v>
      </c>
      <c r="G8" s="20"/>
      <c r="H8" s="20" t="s">
        <v>108</v>
      </c>
      <c r="I8" s="20"/>
      <c r="J8" s="20"/>
      <c r="K8" s="20" t="s">
        <v>138</v>
      </c>
      <c r="L8" s="20"/>
      <c r="M8" s="20" t="s">
        <v>111</v>
      </c>
      <c r="N8" s="21" t="s">
        <v>139</v>
      </c>
    </row>
    <row r="9" s="8" customFormat="1" customHeight="1" spans="1:14">
      <c r="A9" s="17" t="s">
        <v>140</v>
      </c>
      <c r="B9" s="18" t="s">
        <v>140</v>
      </c>
      <c r="C9" s="18" t="s">
        <v>140</v>
      </c>
      <c r="D9" s="18" t="s">
        <v>141</v>
      </c>
      <c r="E9" s="18" t="s">
        <v>142</v>
      </c>
      <c r="F9" s="18" t="s">
        <v>107</v>
      </c>
      <c r="G9" s="18"/>
      <c r="H9" s="18" t="s">
        <v>143</v>
      </c>
      <c r="I9" s="18"/>
      <c r="J9" s="18"/>
      <c r="K9" s="18" t="s">
        <v>144</v>
      </c>
      <c r="L9" s="18"/>
      <c r="M9" s="18" t="s">
        <v>111</v>
      </c>
      <c r="N9" s="19" t="s">
        <v>145</v>
      </c>
    </row>
    <row r="10" s="8" customFormat="1" customHeight="1" spans="1:14">
      <c r="A10" s="17" t="s">
        <v>146</v>
      </c>
      <c r="B10" s="20" t="s">
        <v>146</v>
      </c>
      <c r="C10" s="20" t="s">
        <v>146</v>
      </c>
      <c r="D10" s="20" t="s">
        <v>109</v>
      </c>
      <c r="E10" s="20" t="s">
        <v>109</v>
      </c>
      <c r="F10" s="20" t="s">
        <v>107</v>
      </c>
      <c r="G10" s="20"/>
      <c r="H10" s="20" t="s">
        <v>147</v>
      </c>
      <c r="I10" s="20"/>
      <c r="J10" s="20"/>
      <c r="K10" s="20" t="s">
        <v>148</v>
      </c>
      <c r="L10" s="20"/>
      <c r="M10" s="20" t="s">
        <v>111</v>
      </c>
      <c r="N10" s="21" t="s">
        <v>149</v>
      </c>
    </row>
    <row r="11" s="8" customFormat="1" customHeight="1" spans="1:14">
      <c r="A11" s="17" t="s">
        <v>150</v>
      </c>
      <c r="B11" s="18" t="s">
        <v>150</v>
      </c>
      <c r="C11" s="18" t="s">
        <v>150</v>
      </c>
      <c r="D11" s="18" t="s">
        <v>151</v>
      </c>
      <c r="E11" s="18" t="s">
        <v>109</v>
      </c>
      <c r="F11" s="18" t="s">
        <v>107</v>
      </c>
      <c r="G11" s="18"/>
      <c r="H11" s="18" t="s">
        <v>152</v>
      </c>
      <c r="I11" s="18"/>
      <c r="J11" s="18"/>
      <c r="K11" s="18" t="s">
        <v>153</v>
      </c>
      <c r="L11" s="18"/>
      <c r="M11" s="18" t="s">
        <v>111</v>
      </c>
      <c r="N11" s="19" t="s">
        <v>154</v>
      </c>
    </row>
    <row r="12" s="8" customFormat="1" customHeight="1" spans="1:14">
      <c r="A12" s="17" t="s">
        <v>155</v>
      </c>
      <c r="B12" s="20" t="s">
        <v>155</v>
      </c>
      <c r="C12" s="20" t="s">
        <v>155</v>
      </c>
      <c r="D12" s="20" t="s">
        <v>156</v>
      </c>
      <c r="E12" s="20" t="s">
        <v>109</v>
      </c>
      <c r="F12" s="20" t="s">
        <v>107</v>
      </c>
      <c r="G12" s="20"/>
      <c r="H12" s="20" t="s">
        <v>157</v>
      </c>
      <c r="I12" s="20" t="s">
        <v>158</v>
      </c>
      <c r="J12" s="20"/>
      <c r="K12" s="20" t="s">
        <v>159</v>
      </c>
      <c r="L12" s="20"/>
      <c r="M12" s="20" t="s">
        <v>111</v>
      </c>
      <c r="N12" s="21" t="s">
        <v>160</v>
      </c>
    </row>
    <row r="13" s="8" customFormat="1" customHeight="1" spans="1:14">
      <c r="A13" s="17" t="s">
        <v>161</v>
      </c>
      <c r="B13" s="18" t="s">
        <v>162</v>
      </c>
      <c r="C13" s="18" t="s">
        <v>162</v>
      </c>
      <c r="D13" s="18" t="s">
        <v>163</v>
      </c>
      <c r="E13" s="18" t="s">
        <v>164</v>
      </c>
      <c r="F13" s="18" t="s">
        <v>107</v>
      </c>
      <c r="G13" s="18"/>
      <c r="H13" s="18" t="s">
        <v>165</v>
      </c>
      <c r="I13" s="18"/>
      <c r="J13" s="18"/>
      <c r="K13" s="18" t="s">
        <v>166</v>
      </c>
      <c r="L13" s="18" t="s">
        <v>167</v>
      </c>
      <c r="M13" s="18" t="s">
        <v>111</v>
      </c>
      <c r="N13" s="19" t="s">
        <v>168</v>
      </c>
    </row>
    <row r="14" s="8" customFormat="1" customHeight="1" spans="1:14">
      <c r="A14" s="17" t="s">
        <v>169</v>
      </c>
      <c r="B14" s="20" t="s">
        <v>169</v>
      </c>
      <c r="C14" s="20" t="s">
        <v>169</v>
      </c>
      <c r="D14" s="20" t="s">
        <v>170</v>
      </c>
      <c r="E14" s="20" t="s">
        <v>109</v>
      </c>
      <c r="F14" s="20" t="s">
        <v>107</v>
      </c>
      <c r="G14" s="20"/>
      <c r="H14" s="20" t="s">
        <v>171</v>
      </c>
      <c r="I14" s="20"/>
      <c r="J14" s="20"/>
      <c r="K14" s="20" t="s">
        <v>172</v>
      </c>
      <c r="L14" s="20"/>
      <c r="M14" s="20" t="s">
        <v>111</v>
      </c>
      <c r="N14" s="21" t="s">
        <v>173</v>
      </c>
    </row>
    <row r="15" s="8" customFormat="1" customHeight="1" spans="1:14">
      <c r="A15" s="17" t="s">
        <v>174</v>
      </c>
      <c r="B15" s="18" t="s">
        <v>174</v>
      </c>
      <c r="C15" s="18" t="s">
        <v>174</v>
      </c>
      <c r="D15" s="18" t="s">
        <v>175</v>
      </c>
      <c r="E15" s="18" t="s">
        <v>126</v>
      </c>
      <c r="F15" s="18" t="s">
        <v>107</v>
      </c>
      <c r="G15" s="18"/>
      <c r="H15" s="18" t="s">
        <v>176</v>
      </c>
      <c r="I15" s="18" t="s">
        <v>177</v>
      </c>
      <c r="J15" s="18"/>
      <c r="K15" s="18" t="s">
        <v>128</v>
      </c>
      <c r="L15" s="18"/>
      <c r="M15" s="18" t="s">
        <v>111</v>
      </c>
      <c r="N15" s="19" t="s">
        <v>129</v>
      </c>
    </row>
    <row r="16" s="8" customFormat="1" customHeight="1" spans="1:14">
      <c r="A16" s="17" t="s">
        <v>178</v>
      </c>
      <c r="B16" s="20" t="s">
        <v>178</v>
      </c>
      <c r="C16" s="20" t="s">
        <v>178</v>
      </c>
      <c r="D16" s="20" t="s">
        <v>179</v>
      </c>
      <c r="E16" s="20" t="s">
        <v>109</v>
      </c>
      <c r="F16" s="20" t="s">
        <v>107</v>
      </c>
      <c r="G16" s="20"/>
      <c r="H16" s="20" t="s">
        <v>180</v>
      </c>
      <c r="I16" s="20"/>
      <c r="J16" s="20"/>
      <c r="K16" s="20" t="s">
        <v>181</v>
      </c>
      <c r="L16" s="20"/>
      <c r="M16" s="20" t="s">
        <v>111</v>
      </c>
      <c r="N16" s="21" t="s">
        <v>182</v>
      </c>
    </row>
    <row r="17" s="8" customFormat="1" customHeight="1" spans="1:14">
      <c r="A17" s="17" t="s">
        <v>183</v>
      </c>
      <c r="B17" s="18" t="s">
        <v>183</v>
      </c>
      <c r="C17" s="18" t="s">
        <v>183</v>
      </c>
      <c r="D17" s="18" t="s">
        <v>184</v>
      </c>
      <c r="E17" s="18" t="s">
        <v>109</v>
      </c>
      <c r="F17" s="18" t="s">
        <v>107</v>
      </c>
      <c r="G17" s="18"/>
      <c r="H17" s="18" t="s">
        <v>185</v>
      </c>
      <c r="I17" s="18"/>
      <c r="J17" s="18"/>
      <c r="K17" s="18" t="s">
        <v>186</v>
      </c>
      <c r="L17" s="18"/>
      <c r="M17" s="18" t="s">
        <v>111</v>
      </c>
      <c r="N17" s="19" t="s">
        <v>187</v>
      </c>
    </row>
    <row r="18" s="8" customFormat="1" customHeight="1" spans="1:14">
      <c r="A18" s="17" t="s">
        <v>188</v>
      </c>
      <c r="B18" s="20" t="s">
        <v>188</v>
      </c>
      <c r="C18" s="20" t="s">
        <v>188</v>
      </c>
      <c r="D18" s="20" t="s">
        <v>109</v>
      </c>
      <c r="E18" s="20" t="s">
        <v>109</v>
      </c>
      <c r="F18" s="20" t="s">
        <v>107</v>
      </c>
      <c r="G18" s="20"/>
      <c r="H18" s="20" t="s">
        <v>189</v>
      </c>
      <c r="I18" s="20"/>
      <c r="J18" s="20"/>
      <c r="K18" s="20" t="s">
        <v>190</v>
      </c>
      <c r="L18" s="20"/>
      <c r="M18" s="20" t="s">
        <v>111</v>
      </c>
      <c r="N18" s="21" t="s">
        <v>191</v>
      </c>
    </row>
    <row r="19" s="8" customFormat="1" customHeight="1" spans="1:14">
      <c r="A19" s="17" t="s">
        <v>192</v>
      </c>
      <c r="B19" s="18" t="s">
        <v>192</v>
      </c>
      <c r="C19" s="18" t="s">
        <v>192</v>
      </c>
      <c r="D19" s="18" t="s">
        <v>193</v>
      </c>
      <c r="E19" s="18" t="s">
        <v>109</v>
      </c>
      <c r="F19" s="18" t="s">
        <v>107</v>
      </c>
      <c r="G19" s="18"/>
      <c r="H19" s="18" t="s">
        <v>109</v>
      </c>
      <c r="I19" s="18" t="s">
        <v>194</v>
      </c>
      <c r="J19" s="18"/>
      <c r="K19" s="18" t="s">
        <v>195</v>
      </c>
      <c r="L19" s="18"/>
      <c r="M19" s="18" t="s">
        <v>111</v>
      </c>
      <c r="N19" s="19" t="s">
        <v>196</v>
      </c>
    </row>
    <row r="20" s="8" customFormat="1" customHeight="1" spans="1:14">
      <c r="A20" s="17" t="s">
        <v>197</v>
      </c>
      <c r="B20" s="20" t="s">
        <v>197</v>
      </c>
      <c r="C20" s="20" t="s">
        <v>197</v>
      </c>
      <c r="D20" s="20" t="s">
        <v>198</v>
      </c>
      <c r="E20" s="20" t="s">
        <v>198</v>
      </c>
      <c r="F20" s="20" t="s">
        <v>107</v>
      </c>
      <c r="G20" s="20"/>
      <c r="H20" s="20" t="s">
        <v>199</v>
      </c>
      <c r="I20" s="20" t="s">
        <v>109</v>
      </c>
      <c r="J20" s="20"/>
      <c r="K20" s="20" t="s">
        <v>200</v>
      </c>
      <c r="L20" s="20"/>
      <c r="M20" s="20" t="s">
        <v>111</v>
      </c>
      <c r="N20" s="21" t="s">
        <v>201</v>
      </c>
    </row>
    <row r="21" s="8" customFormat="1" customHeight="1" spans="1:14">
      <c r="A21" s="17" t="s">
        <v>202</v>
      </c>
      <c r="B21" s="18" t="s">
        <v>202</v>
      </c>
      <c r="C21" s="18" t="s">
        <v>202</v>
      </c>
      <c r="D21" s="18" t="s">
        <v>109</v>
      </c>
      <c r="E21" s="18" t="s">
        <v>109</v>
      </c>
      <c r="F21" s="18" t="s">
        <v>107</v>
      </c>
      <c r="G21" s="18"/>
      <c r="H21" s="18" t="s">
        <v>203</v>
      </c>
      <c r="I21" s="18"/>
      <c r="J21" s="18"/>
      <c r="K21" s="18" t="s">
        <v>122</v>
      </c>
      <c r="L21" s="18"/>
      <c r="M21" s="18" t="s">
        <v>111</v>
      </c>
      <c r="N21" s="19" t="s">
        <v>123</v>
      </c>
    </row>
    <row r="22" s="8" customFormat="1" customHeight="1" spans="1:14">
      <c r="A22" s="17" t="s">
        <v>204</v>
      </c>
      <c r="B22" s="20" t="s">
        <v>204</v>
      </c>
      <c r="C22" s="20" t="s">
        <v>204</v>
      </c>
      <c r="D22" s="20" t="s">
        <v>205</v>
      </c>
      <c r="E22" s="20" t="s">
        <v>109</v>
      </c>
      <c r="F22" s="20" t="s">
        <v>107</v>
      </c>
      <c r="G22" s="20"/>
      <c r="H22" s="20" t="s">
        <v>206</v>
      </c>
      <c r="I22" s="20"/>
      <c r="J22" s="20"/>
      <c r="K22" s="20" t="s">
        <v>207</v>
      </c>
      <c r="L22" s="20"/>
      <c r="M22" s="20" t="s">
        <v>111</v>
      </c>
      <c r="N22" s="21" t="s">
        <v>208</v>
      </c>
    </row>
    <row r="23" s="8" customFormat="1" customHeight="1" spans="1:14">
      <c r="A23" s="17" t="s">
        <v>209</v>
      </c>
      <c r="B23" s="18" t="s">
        <v>209</v>
      </c>
      <c r="C23" s="18" t="s">
        <v>209</v>
      </c>
      <c r="D23" s="18" t="s">
        <v>210</v>
      </c>
      <c r="E23" s="18" t="s">
        <v>109</v>
      </c>
      <c r="F23" s="18" t="s">
        <v>107</v>
      </c>
      <c r="G23" s="18"/>
      <c r="H23" s="18" t="s">
        <v>211</v>
      </c>
      <c r="I23" s="18"/>
      <c r="J23" s="18"/>
      <c r="K23" s="18" t="s">
        <v>212</v>
      </c>
      <c r="L23" s="18"/>
      <c r="M23" s="18" t="s">
        <v>111</v>
      </c>
      <c r="N23" s="19" t="s">
        <v>213</v>
      </c>
    </row>
    <row r="24" s="8" customFormat="1" customHeight="1" spans="1:14">
      <c r="A24" s="17" t="s">
        <v>214</v>
      </c>
      <c r="B24" s="20" t="s">
        <v>214</v>
      </c>
      <c r="C24" s="20" t="s">
        <v>214</v>
      </c>
      <c r="D24" s="20" t="s">
        <v>215</v>
      </c>
      <c r="E24" s="20" t="s">
        <v>109</v>
      </c>
      <c r="F24" s="20" t="s">
        <v>107</v>
      </c>
      <c r="G24" s="20"/>
      <c r="H24" s="20" t="s">
        <v>216</v>
      </c>
      <c r="I24" s="20"/>
      <c r="J24" s="20"/>
      <c r="K24" s="20" t="s">
        <v>217</v>
      </c>
      <c r="L24" s="20"/>
      <c r="M24" s="20" t="s">
        <v>111</v>
      </c>
      <c r="N24" s="21" t="s">
        <v>218</v>
      </c>
    </row>
    <row r="25" s="8" customFormat="1" customHeight="1" spans="1:14">
      <c r="A25" s="17" t="s">
        <v>219</v>
      </c>
      <c r="B25" s="18" t="s">
        <v>219</v>
      </c>
      <c r="C25" s="18" t="s">
        <v>219</v>
      </c>
      <c r="D25" s="18" t="s">
        <v>109</v>
      </c>
      <c r="E25" s="18" t="s">
        <v>109</v>
      </c>
      <c r="F25" s="18" t="s">
        <v>107</v>
      </c>
      <c r="G25" s="18"/>
      <c r="H25" s="18" t="s">
        <v>220</v>
      </c>
      <c r="I25" s="18"/>
      <c r="J25" s="18"/>
      <c r="K25" s="18" t="s">
        <v>221</v>
      </c>
      <c r="L25" s="18"/>
      <c r="M25" s="18" t="s">
        <v>111</v>
      </c>
      <c r="N25" s="19" t="s">
        <v>222</v>
      </c>
    </row>
    <row r="26" s="8" customFormat="1" customHeight="1" spans="1:14">
      <c r="A26" s="17" t="s">
        <v>223</v>
      </c>
      <c r="B26" s="20" t="s">
        <v>223</v>
      </c>
      <c r="C26" s="20" t="s">
        <v>223</v>
      </c>
      <c r="D26" s="20" t="s">
        <v>224</v>
      </c>
      <c r="E26" s="20" t="s">
        <v>109</v>
      </c>
      <c r="F26" s="20" t="s">
        <v>107</v>
      </c>
      <c r="G26" s="20"/>
      <c r="H26" s="20" t="s">
        <v>225</v>
      </c>
      <c r="I26" s="20"/>
      <c r="J26" s="20"/>
      <c r="K26" s="20" t="s">
        <v>226</v>
      </c>
      <c r="L26" s="20"/>
      <c r="M26" s="20" t="s">
        <v>111</v>
      </c>
      <c r="N26" s="21" t="s">
        <v>227</v>
      </c>
    </row>
    <row r="27" s="8" customFormat="1" customHeight="1" spans="1:14">
      <c r="A27" s="17" t="s">
        <v>228</v>
      </c>
      <c r="B27" s="18" t="s">
        <v>228</v>
      </c>
      <c r="C27" s="18" t="s">
        <v>228</v>
      </c>
      <c r="D27" s="18" t="s">
        <v>229</v>
      </c>
      <c r="E27" s="18" t="s">
        <v>229</v>
      </c>
      <c r="F27" s="18" t="s">
        <v>107</v>
      </c>
      <c r="G27" s="18"/>
      <c r="H27" s="18" t="s">
        <v>230</v>
      </c>
      <c r="I27" s="18" t="s">
        <v>167</v>
      </c>
      <c r="J27" s="18"/>
      <c r="K27" s="18" t="s">
        <v>231</v>
      </c>
      <c r="L27" s="18"/>
      <c r="M27" s="18" t="s">
        <v>111</v>
      </c>
      <c r="N27" s="19" t="s">
        <v>232</v>
      </c>
    </row>
    <row r="28" s="8" customFormat="1" customHeight="1" spans="1:14">
      <c r="A28" s="17" t="s">
        <v>233</v>
      </c>
      <c r="B28" s="20" t="s">
        <v>233</v>
      </c>
      <c r="C28" s="20" t="s">
        <v>233</v>
      </c>
      <c r="D28" s="20" t="s">
        <v>234</v>
      </c>
      <c r="E28" s="20" t="s">
        <v>234</v>
      </c>
      <c r="F28" s="20" t="s">
        <v>107</v>
      </c>
      <c r="G28" s="20"/>
      <c r="H28" s="20" t="s">
        <v>235</v>
      </c>
      <c r="I28" s="20"/>
      <c r="J28" s="20"/>
      <c r="K28" s="20" t="s">
        <v>236</v>
      </c>
      <c r="L28" s="20"/>
      <c r="M28" s="20" t="s">
        <v>111</v>
      </c>
      <c r="N28" s="21" t="s">
        <v>237</v>
      </c>
    </row>
    <row r="29" s="8" customFormat="1" customHeight="1" spans="1:14">
      <c r="A29" s="17" t="s">
        <v>238</v>
      </c>
      <c r="B29" s="18" t="s">
        <v>238</v>
      </c>
      <c r="C29" s="18" t="s">
        <v>238</v>
      </c>
      <c r="D29" s="18" t="s">
        <v>239</v>
      </c>
      <c r="E29" s="18" t="s">
        <v>109</v>
      </c>
      <c r="F29" s="18" t="s">
        <v>107</v>
      </c>
      <c r="G29" s="18"/>
      <c r="H29" s="18" t="s">
        <v>240</v>
      </c>
      <c r="I29" s="18"/>
      <c r="J29" s="18"/>
      <c r="K29" s="18" t="s">
        <v>241</v>
      </c>
      <c r="L29" s="18"/>
      <c r="M29" s="18" t="s">
        <v>111</v>
      </c>
      <c r="N29" s="19" t="s">
        <v>242</v>
      </c>
    </row>
    <row r="30" s="8" customFormat="1" customHeight="1" spans="1:14">
      <c r="A30" s="17" t="s">
        <v>243</v>
      </c>
      <c r="B30" s="20" t="s">
        <v>243</v>
      </c>
      <c r="C30" s="20" t="s">
        <v>243</v>
      </c>
      <c r="D30" s="20" t="s">
        <v>244</v>
      </c>
      <c r="E30" s="20" t="s">
        <v>244</v>
      </c>
      <c r="F30" s="20" t="s">
        <v>107</v>
      </c>
      <c r="G30" s="20"/>
      <c r="H30" s="20" t="s">
        <v>245</v>
      </c>
      <c r="I30" s="20"/>
      <c r="J30" s="20"/>
      <c r="K30" s="20" t="s">
        <v>246</v>
      </c>
      <c r="L30" s="20"/>
      <c r="M30" s="20" t="s">
        <v>111</v>
      </c>
      <c r="N30" s="21" t="s">
        <v>247</v>
      </c>
    </row>
    <row r="31" s="8" customFormat="1" customHeight="1" spans="1:14">
      <c r="A31" s="17" t="s">
        <v>248</v>
      </c>
      <c r="B31" s="18" t="s">
        <v>248</v>
      </c>
      <c r="C31" s="18" t="s">
        <v>248</v>
      </c>
      <c r="D31" s="18" t="s">
        <v>249</v>
      </c>
      <c r="E31" s="18" t="s">
        <v>249</v>
      </c>
      <c r="F31" s="18" t="s">
        <v>107</v>
      </c>
      <c r="G31" s="18"/>
      <c r="H31" s="18" t="s">
        <v>250</v>
      </c>
      <c r="I31" s="18"/>
      <c r="J31" s="18"/>
      <c r="K31" s="18" t="s">
        <v>207</v>
      </c>
      <c r="L31" s="18"/>
      <c r="M31" s="18" t="s">
        <v>111</v>
      </c>
      <c r="N31" s="19" t="s">
        <v>208</v>
      </c>
    </row>
    <row r="32" s="8" customFormat="1" customHeight="1" spans="1:14">
      <c r="A32" s="17" t="s">
        <v>251</v>
      </c>
      <c r="B32" s="20" t="s">
        <v>252</v>
      </c>
      <c r="C32" s="20" t="s">
        <v>253</v>
      </c>
      <c r="D32" s="20" t="s">
        <v>254</v>
      </c>
      <c r="E32" s="20" t="s">
        <v>255</v>
      </c>
      <c r="F32" s="20" t="s">
        <v>107</v>
      </c>
      <c r="G32" s="20"/>
      <c r="H32" s="20" t="s">
        <v>256</v>
      </c>
      <c r="I32" s="20"/>
      <c r="J32" s="20"/>
      <c r="K32" s="20" t="s">
        <v>257</v>
      </c>
      <c r="L32" s="20"/>
      <c r="M32" s="20" t="s">
        <v>111</v>
      </c>
      <c r="N32" s="21" t="s">
        <v>258</v>
      </c>
    </row>
    <row r="33" s="8" customFormat="1" customHeight="1" spans="1:14">
      <c r="A33" s="17" t="s">
        <v>259</v>
      </c>
      <c r="B33" s="18" t="s">
        <v>260</v>
      </c>
      <c r="C33" s="18" t="s">
        <v>261</v>
      </c>
      <c r="D33" s="18" t="s">
        <v>262</v>
      </c>
      <c r="E33" s="18" t="s">
        <v>263</v>
      </c>
      <c r="F33" s="18" t="s">
        <v>107</v>
      </c>
      <c r="G33" s="18"/>
      <c r="H33" s="18" t="s">
        <v>256</v>
      </c>
      <c r="I33" s="18"/>
      <c r="J33" s="18"/>
      <c r="K33" s="18" t="s">
        <v>257</v>
      </c>
      <c r="L33" s="18"/>
      <c r="M33" s="18" t="s">
        <v>111</v>
      </c>
      <c r="N33" s="19" t="s">
        <v>258</v>
      </c>
    </row>
    <row r="34" s="8" customFormat="1" customHeight="1" spans="1:14">
      <c r="A34" s="17" t="s">
        <v>264</v>
      </c>
      <c r="B34" s="20" t="s">
        <v>265</v>
      </c>
      <c r="C34" s="20" t="s">
        <v>266</v>
      </c>
      <c r="D34" s="20" t="s">
        <v>267</v>
      </c>
      <c r="E34" s="20" t="s">
        <v>268</v>
      </c>
      <c r="F34" s="20" t="s">
        <v>107</v>
      </c>
      <c r="G34" s="20"/>
      <c r="H34" s="20" t="s">
        <v>256</v>
      </c>
      <c r="I34" s="20"/>
      <c r="J34" s="20"/>
      <c r="K34" s="20" t="s">
        <v>257</v>
      </c>
      <c r="L34" s="20"/>
      <c r="M34" s="20" t="s">
        <v>111</v>
      </c>
      <c r="N34" s="21" t="s">
        <v>258</v>
      </c>
    </row>
    <row r="35" s="8" customFormat="1" customHeight="1" spans="1:14">
      <c r="A35" s="17" t="s">
        <v>269</v>
      </c>
      <c r="B35" s="18" t="s">
        <v>270</v>
      </c>
      <c r="C35" s="18" t="s">
        <v>271</v>
      </c>
      <c r="D35" s="18" t="s">
        <v>272</v>
      </c>
      <c r="E35" s="18" t="s">
        <v>273</v>
      </c>
      <c r="F35" s="18" t="s">
        <v>107</v>
      </c>
      <c r="G35" s="18"/>
      <c r="H35" s="18" t="s">
        <v>256</v>
      </c>
      <c r="I35" s="18"/>
      <c r="J35" s="18"/>
      <c r="K35" s="18" t="s">
        <v>257</v>
      </c>
      <c r="L35" s="18"/>
      <c r="M35" s="18" t="s">
        <v>111</v>
      </c>
      <c r="N35" s="19" t="s">
        <v>258</v>
      </c>
    </row>
    <row r="36" s="8" customFormat="1" customHeight="1" spans="1:14">
      <c r="A36" s="17" t="s">
        <v>274</v>
      </c>
      <c r="B36" s="20" t="s">
        <v>275</v>
      </c>
      <c r="C36" s="20" t="s">
        <v>276</v>
      </c>
      <c r="D36" s="20" t="s">
        <v>163</v>
      </c>
      <c r="E36" s="20" t="s">
        <v>277</v>
      </c>
      <c r="F36" s="20" t="s">
        <v>107</v>
      </c>
      <c r="G36" s="20"/>
      <c r="H36" s="20" t="s">
        <v>256</v>
      </c>
      <c r="I36" s="20"/>
      <c r="J36" s="20"/>
      <c r="K36" s="20" t="s">
        <v>257</v>
      </c>
      <c r="L36" s="20"/>
      <c r="M36" s="20" t="s">
        <v>111</v>
      </c>
      <c r="N36" s="21" t="s">
        <v>258</v>
      </c>
    </row>
    <row r="37" s="8" customFormat="1" customHeight="1" spans="1:14">
      <c r="A37" s="17" t="s">
        <v>278</v>
      </c>
      <c r="B37" s="18" t="s">
        <v>279</v>
      </c>
      <c r="C37" s="18" t="s">
        <v>280</v>
      </c>
      <c r="D37" s="18" t="s">
        <v>281</v>
      </c>
      <c r="E37" s="18" t="s">
        <v>282</v>
      </c>
      <c r="F37" s="18" t="s">
        <v>107</v>
      </c>
      <c r="G37" s="18"/>
      <c r="H37" s="18" t="s">
        <v>256</v>
      </c>
      <c r="I37" s="18"/>
      <c r="J37" s="18"/>
      <c r="K37" s="18" t="s">
        <v>257</v>
      </c>
      <c r="L37" s="18"/>
      <c r="M37" s="18" t="s">
        <v>111</v>
      </c>
      <c r="N37" s="19" t="s">
        <v>258</v>
      </c>
    </row>
    <row r="38" s="8" customFormat="1" customHeight="1" spans="1:14">
      <c r="A38" s="17" t="s">
        <v>283</v>
      </c>
      <c r="B38" s="20" t="s">
        <v>283</v>
      </c>
      <c r="C38" s="20" t="s">
        <v>283</v>
      </c>
      <c r="D38" s="20" t="s">
        <v>284</v>
      </c>
      <c r="E38" s="20" t="s">
        <v>284</v>
      </c>
      <c r="F38" s="20" t="s">
        <v>107</v>
      </c>
      <c r="G38" s="20"/>
      <c r="H38" s="20" t="s">
        <v>285</v>
      </c>
      <c r="I38" s="20"/>
      <c r="J38" s="20"/>
      <c r="K38" s="20" t="s">
        <v>286</v>
      </c>
      <c r="L38" s="20"/>
      <c r="M38" s="20" t="s">
        <v>111</v>
      </c>
      <c r="N38" s="21" t="s">
        <v>287</v>
      </c>
    </row>
    <row r="39" s="8" customFormat="1" customHeight="1" spans="1:14">
      <c r="A39" s="17" t="s">
        <v>288</v>
      </c>
      <c r="B39" s="18" t="s">
        <v>288</v>
      </c>
      <c r="C39" s="18" t="s">
        <v>288</v>
      </c>
      <c r="D39" s="18" t="s">
        <v>289</v>
      </c>
      <c r="E39" s="18" t="s">
        <v>289</v>
      </c>
      <c r="F39" s="18" t="s">
        <v>107</v>
      </c>
      <c r="G39" s="18"/>
      <c r="H39" s="18" t="s">
        <v>290</v>
      </c>
      <c r="I39" s="18"/>
      <c r="J39" s="18"/>
      <c r="K39" s="18" t="s">
        <v>291</v>
      </c>
      <c r="L39" s="18"/>
      <c r="M39" s="18" t="s">
        <v>111</v>
      </c>
      <c r="N39" s="19" t="s">
        <v>292</v>
      </c>
    </row>
    <row r="40" s="8" customFormat="1" customHeight="1" spans="1:14">
      <c r="A40" s="17" t="s">
        <v>293</v>
      </c>
      <c r="B40" s="20" t="s">
        <v>293</v>
      </c>
      <c r="C40" s="20" t="s">
        <v>293</v>
      </c>
      <c r="D40" s="20" t="s">
        <v>294</v>
      </c>
      <c r="E40" s="20" t="s">
        <v>109</v>
      </c>
      <c r="F40" s="20" t="s">
        <v>107</v>
      </c>
      <c r="G40" s="20"/>
      <c r="H40" s="20" t="s">
        <v>295</v>
      </c>
      <c r="I40" s="20" t="s">
        <v>296</v>
      </c>
      <c r="J40" s="20"/>
      <c r="K40" s="20" t="s">
        <v>297</v>
      </c>
      <c r="L40" s="20"/>
      <c r="M40" s="20" t="s">
        <v>111</v>
      </c>
      <c r="N40" s="21" t="s">
        <v>298</v>
      </c>
    </row>
    <row r="41" s="8" customFormat="1" customHeight="1" spans="1:14">
      <c r="A41" s="17" t="s">
        <v>299</v>
      </c>
      <c r="B41" s="18" t="s">
        <v>299</v>
      </c>
      <c r="C41" s="18" t="s">
        <v>299</v>
      </c>
      <c r="D41" s="18" t="s">
        <v>300</v>
      </c>
      <c r="E41" s="18" t="s">
        <v>301</v>
      </c>
      <c r="F41" s="18" t="s">
        <v>107</v>
      </c>
      <c r="G41" s="18"/>
      <c r="H41" s="18" t="s">
        <v>302</v>
      </c>
      <c r="I41" s="18"/>
      <c r="J41" s="18"/>
      <c r="K41" s="18" t="s">
        <v>303</v>
      </c>
      <c r="L41" s="18"/>
      <c r="M41" s="18" t="s">
        <v>111</v>
      </c>
      <c r="N41" s="19" t="s">
        <v>304</v>
      </c>
    </row>
    <row r="42" s="8" customFormat="1" customHeight="1" spans="1:14">
      <c r="A42" s="17" t="s">
        <v>305</v>
      </c>
      <c r="B42" s="20" t="s">
        <v>305</v>
      </c>
      <c r="C42" s="20" t="s">
        <v>305</v>
      </c>
      <c r="D42" s="20" t="s">
        <v>163</v>
      </c>
      <c r="E42" s="20" t="s">
        <v>163</v>
      </c>
      <c r="F42" s="20" t="s">
        <v>107</v>
      </c>
      <c r="G42" s="20"/>
      <c r="H42" s="20" t="s">
        <v>306</v>
      </c>
      <c r="I42" s="20"/>
      <c r="J42" s="20"/>
      <c r="K42" s="20" t="s">
        <v>307</v>
      </c>
      <c r="L42" s="20"/>
      <c r="M42" s="20" t="s">
        <v>111</v>
      </c>
      <c r="N42" s="21" t="s">
        <v>308</v>
      </c>
    </row>
    <row r="43" s="8" customFormat="1" customHeight="1" spans="1:14">
      <c r="A43" s="17" t="s">
        <v>309</v>
      </c>
      <c r="B43" s="18" t="s">
        <v>309</v>
      </c>
      <c r="C43" s="18" t="s">
        <v>309</v>
      </c>
      <c r="D43" s="18" t="s">
        <v>310</v>
      </c>
      <c r="E43" s="18" t="s">
        <v>109</v>
      </c>
      <c r="F43" s="18" t="s">
        <v>107</v>
      </c>
      <c r="G43" s="18"/>
      <c r="H43" s="18" t="s">
        <v>211</v>
      </c>
      <c r="I43" s="18"/>
      <c r="J43" s="18"/>
      <c r="K43" s="18" t="s">
        <v>212</v>
      </c>
      <c r="L43" s="18"/>
      <c r="M43" s="18" t="s">
        <v>111</v>
      </c>
      <c r="N43" s="19" t="s">
        <v>213</v>
      </c>
    </row>
    <row r="44" s="8" customFormat="1" customHeight="1" spans="1:14">
      <c r="A44" s="17" t="s">
        <v>311</v>
      </c>
      <c r="B44" s="20" t="s">
        <v>311</v>
      </c>
      <c r="C44" s="20" t="s">
        <v>311</v>
      </c>
      <c r="D44" s="20" t="s">
        <v>109</v>
      </c>
      <c r="E44" s="20" t="s">
        <v>109</v>
      </c>
      <c r="F44" s="20" t="s">
        <v>107</v>
      </c>
      <c r="G44" s="20"/>
      <c r="H44" s="20" t="s">
        <v>312</v>
      </c>
      <c r="I44" s="20"/>
      <c r="J44" s="20"/>
      <c r="K44" s="20" t="s">
        <v>313</v>
      </c>
      <c r="L44" s="20"/>
      <c r="M44" s="20" t="s">
        <v>111</v>
      </c>
      <c r="N44" s="21" t="s">
        <v>314</v>
      </c>
    </row>
    <row r="45" s="8" customFormat="1" customHeight="1" spans="1:14">
      <c r="A45" s="17" t="s">
        <v>315</v>
      </c>
      <c r="B45" s="18" t="s">
        <v>315</v>
      </c>
      <c r="C45" s="18" t="s">
        <v>315</v>
      </c>
      <c r="D45" s="18" t="s">
        <v>316</v>
      </c>
      <c r="E45" s="18" t="s">
        <v>316</v>
      </c>
      <c r="F45" s="18" t="s">
        <v>107</v>
      </c>
      <c r="G45" s="18"/>
      <c r="H45" s="18" t="s">
        <v>317</v>
      </c>
      <c r="I45" s="18"/>
      <c r="J45" s="18"/>
      <c r="K45" s="18" t="s">
        <v>138</v>
      </c>
      <c r="L45" s="18"/>
      <c r="M45" s="18" t="s">
        <v>111</v>
      </c>
      <c r="N45" s="19" t="s">
        <v>139</v>
      </c>
    </row>
    <row r="46" s="8" customFormat="1" customHeight="1" spans="1:14">
      <c r="A46" s="17" t="s">
        <v>318</v>
      </c>
      <c r="B46" s="20" t="s">
        <v>319</v>
      </c>
      <c r="C46" s="20" t="s">
        <v>320</v>
      </c>
      <c r="D46" s="20" t="s">
        <v>321</v>
      </c>
      <c r="E46" s="20" t="s">
        <v>321</v>
      </c>
      <c r="F46" s="20" t="s">
        <v>107</v>
      </c>
      <c r="G46" s="20"/>
      <c r="H46" s="20" t="s">
        <v>256</v>
      </c>
      <c r="I46" s="20"/>
      <c r="J46" s="20"/>
      <c r="K46" s="20" t="s">
        <v>257</v>
      </c>
      <c r="L46" s="20"/>
      <c r="M46" s="20" t="s">
        <v>111</v>
      </c>
      <c r="N46" s="21" t="s">
        <v>258</v>
      </c>
    </row>
    <row r="47" s="8" customFormat="1" customHeight="1" spans="1:14">
      <c r="A47" s="17" t="s">
        <v>322</v>
      </c>
      <c r="B47" s="18" t="s">
        <v>322</v>
      </c>
      <c r="C47" s="18" t="s">
        <v>322</v>
      </c>
      <c r="D47" s="18" t="s">
        <v>323</v>
      </c>
      <c r="E47" s="18" t="s">
        <v>323</v>
      </c>
      <c r="F47" s="18" t="s">
        <v>107</v>
      </c>
      <c r="G47" s="18"/>
      <c r="H47" s="18" t="s">
        <v>324</v>
      </c>
      <c r="I47" s="18"/>
      <c r="J47" s="18"/>
      <c r="K47" s="18" t="s">
        <v>325</v>
      </c>
      <c r="L47" s="18"/>
      <c r="M47" s="18" t="s">
        <v>111</v>
      </c>
      <c r="N47" s="19" t="s">
        <v>326</v>
      </c>
    </row>
    <row r="48" s="8" customFormat="1" customHeight="1" spans="1:14">
      <c r="A48" s="17" t="s">
        <v>327</v>
      </c>
      <c r="B48" s="20" t="s">
        <v>327</v>
      </c>
      <c r="C48" s="20" t="s">
        <v>327</v>
      </c>
      <c r="D48" s="20" t="s">
        <v>328</v>
      </c>
      <c r="E48" s="20" t="s">
        <v>109</v>
      </c>
      <c r="F48" s="20" t="s">
        <v>107</v>
      </c>
      <c r="G48" s="20"/>
      <c r="H48" s="20" t="s">
        <v>329</v>
      </c>
      <c r="I48" s="20"/>
      <c r="J48" s="20"/>
      <c r="K48" s="20" t="s">
        <v>330</v>
      </c>
      <c r="L48" s="20"/>
      <c r="M48" s="20" t="s">
        <v>111</v>
      </c>
      <c r="N48" s="21" t="s">
        <v>331</v>
      </c>
    </row>
    <row r="49" s="8" customFormat="1" customHeight="1" spans="1:14">
      <c r="A49" s="17" t="s">
        <v>332</v>
      </c>
      <c r="B49" s="18" t="s">
        <v>332</v>
      </c>
      <c r="C49" s="18" t="s">
        <v>332</v>
      </c>
      <c r="D49" s="18" t="s">
        <v>333</v>
      </c>
      <c r="E49" s="18" t="s">
        <v>333</v>
      </c>
      <c r="F49" s="18" t="s">
        <v>107</v>
      </c>
      <c r="G49" s="18"/>
      <c r="H49" s="18" t="s">
        <v>334</v>
      </c>
      <c r="I49" s="18"/>
      <c r="J49" s="18"/>
      <c r="K49" s="18" t="s">
        <v>335</v>
      </c>
      <c r="L49" s="18"/>
      <c r="M49" s="18" t="s">
        <v>111</v>
      </c>
      <c r="N49" s="19" t="s">
        <v>304</v>
      </c>
    </row>
    <row r="50" s="8" customFormat="1" customHeight="1" spans="1:14">
      <c r="A50" s="17" t="s">
        <v>336</v>
      </c>
      <c r="B50" s="20" t="s">
        <v>336</v>
      </c>
      <c r="C50" s="20" t="s">
        <v>336</v>
      </c>
      <c r="D50" s="20" t="s">
        <v>109</v>
      </c>
      <c r="E50" s="20" t="s">
        <v>109</v>
      </c>
      <c r="F50" s="20" t="s">
        <v>107</v>
      </c>
      <c r="G50" s="20"/>
      <c r="H50" s="20" t="s">
        <v>337</v>
      </c>
      <c r="I50" s="20"/>
      <c r="J50" s="20"/>
      <c r="K50" s="20" t="s">
        <v>338</v>
      </c>
      <c r="L50" s="20"/>
      <c r="M50" s="20" t="s">
        <v>339</v>
      </c>
      <c r="N50" s="21" t="s">
        <v>340</v>
      </c>
    </row>
    <row r="51" s="8" customFormat="1" customHeight="1" spans="1:14">
      <c r="A51" s="17" t="s">
        <v>341</v>
      </c>
      <c r="B51" s="18" t="s">
        <v>341</v>
      </c>
      <c r="C51" s="18" t="s">
        <v>341</v>
      </c>
      <c r="D51" s="18" t="s">
        <v>163</v>
      </c>
      <c r="E51" s="18" t="s">
        <v>342</v>
      </c>
      <c r="F51" s="18" t="s">
        <v>107</v>
      </c>
      <c r="G51" s="18"/>
      <c r="H51" s="18" t="s">
        <v>165</v>
      </c>
      <c r="I51" s="18"/>
      <c r="J51" s="18"/>
      <c r="K51" s="18" t="s">
        <v>166</v>
      </c>
      <c r="L51" s="18" t="s">
        <v>167</v>
      </c>
      <c r="M51" s="18" t="s">
        <v>111</v>
      </c>
      <c r="N51" s="19" t="s">
        <v>168</v>
      </c>
    </row>
    <row r="52" s="8" customFormat="1" customHeight="1" spans="1:14">
      <c r="A52" s="17" t="s">
        <v>343</v>
      </c>
      <c r="B52" s="20" t="s">
        <v>343</v>
      </c>
      <c r="C52" s="20" t="s">
        <v>343</v>
      </c>
      <c r="D52" s="20" t="s">
        <v>344</v>
      </c>
      <c r="E52" s="20" t="s">
        <v>344</v>
      </c>
      <c r="F52" s="20" t="s">
        <v>107</v>
      </c>
      <c r="G52" s="20"/>
      <c r="H52" s="20" t="s">
        <v>345</v>
      </c>
      <c r="I52" s="20" t="s">
        <v>346</v>
      </c>
      <c r="J52" s="20"/>
      <c r="K52" s="20" t="s">
        <v>347</v>
      </c>
      <c r="L52" s="20"/>
      <c r="M52" s="20" t="s">
        <v>111</v>
      </c>
      <c r="N52" s="21" t="s">
        <v>348</v>
      </c>
    </row>
    <row r="53" s="8" customFormat="1" customHeight="1" spans="1:14">
      <c r="A53" s="17" t="s">
        <v>349</v>
      </c>
      <c r="B53" s="18" t="s">
        <v>349</v>
      </c>
      <c r="C53" s="18" t="s">
        <v>349</v>
      </c>
      <c r="D53" s="18" t="s">
        <v>163</v>
      </c>
      <c r="E53" s="18" t="s">
        <v>163</v>
      </c>
      <c r="F53" s="18" t="s">
        <v>107</v>
      </c>
      <c r="G53" s="18"/>
      <c r="H53" s="18" t="s">
        <v>350</v>
      </c>
      <c r="I53" s="18"/>
      <c r="J53" s="18"/>
      <c r="K53" s="18" t="s">
        <v>351</v>
      </c>
      <c r="L53" s="18" t="s">
        <v>352</v>
      </c>
      <c r="M53" s="18" t="s">
        <v>111</v>
      </c>
      <c r="N53" s="19" t="s">
        <v>353</v>
      </c>
    </row>
    <row r="54" s="8" customFormat="1" customHeight="1" spans="1:14">
      <c r="A54" s="17" t="s">
        <v>354</v>
      </c>
      <c r="B54" s="20" t="s">
        <v>354</v>
      </c>
      <c r="C54" s="20" t="s">
        <v>354</v>
      </c>
      <c r="D54" s="20" t="s">
        <v>355</v>
      </c>
      <c r="E54" s="20" t="s">
        <v>355</v>
      </c>
      <c r="F54" s="20" t="s">
        <v>107</v>
      </c>
      <c r="G54" s="20"/>
      <c r="H54" s="20" t="s">
        <v>356</v>
      </c>
      <c r="I54" s="20"/>
      <c r="J54" s="20"/>
      <c r="K54" s="20" t="s">
        <v>357</v>
      </c>
      <c r="L54" s="20"/>
      <c r="M54" s="20" t="s">
        <v>111</v>
      </c>
      <c r="N54" s="21" t="s">
        <v>358</v>
      </c>
    </row>
    <row r="55" s="8" customFormat="1" customHeight="1" spans="1:14">
      <c r="A55" s="17" t="s">
        <v>359</v>
      </c>
      <c r="B55" s="18" t="s">
        <v>359</v>
      </c>
      <c r="C55" s="18" t="s">
        <v>359</v>
      </c>
      <c r="D55" s="18" t="s">
        <v>163</v>
      </c>
      <c r="E55" s="18" t="s">
        <v>163</v>
      </c>
      <c r="F55" s="18" t="s">
        <v>107</v>
      </c>
      <c r="G55" s="18"/>
      <c r="H55" s="18" t="s">
        <v>360</v>
      </c>
      <c r="I55" s="18"/>
      <c r="J55" s="18"/>
      <c r="K55" s="18" t="s">
        <v>361</v>
      </c>
      <c r="L55" s="18" t="s">
        <v>361</v>
      </c>
      <c r="M55" s="18" t="s">
        <v>111</v>
      </c>
      <c r="N55" s="19" t="s">
        <v>362</v>
      </c>
    </row>
    <row r="56" s="8" customFormat="1" customHeight="1" spans="1:14">
      <c r="A56" s="17" t="s">
        <v>363</v>
      </c>
      <c r="B56" s="20" t="s">
        <v>364</v>
      </c>
      <c r="C56" s="20" t="s">
        <v>364</v>
      </c>
      <c r="D56" s="20" t="s">
        <v>163</v>
      </c>
      <c r="E56" s="20" t="s">
        <v>365</v>
      </c>
      <c r="F56" s="20" t="s">
        <v>107</v>
      </c>
      <c r="G56" s="20"/>
      <c r="H56" s="20" t="s">
        <v>165</v>
      </c>
      <c r="I56" s="20"/>
      <c r="J56" s="20"/>
      <c r="K56" s="20" t="s">
        <v>166</v>
      </c>
      <c r="L56" s="20" t="s">
        <v>167</v>
      </c>
      <c r="M56" s="20" t="s">
        <v>111</v>
      </c>
      <c r="N56" s="21" t="s">
        <v>168</v>
      </c>
    </row>
    <row r="57" s="8" customFormat="1" customHeight="1" spans="1:14">
      <c r="A57" s="17" t="s">
        <v>366</v>
      </c>
      <c r="B57" s="18" t="s">
        <v>366</v>
      </c>
      <c r="C57" s="18" t="s">
        <v>366</v>
      </c>
      <c r="D57" s="18" t="s">
        <v>367</v>
      </c>
      <c r="E57" s="18" t="s">
        <v>367</v>
      </c>
      <c r="F57" s="18" t="s">
        <v>107</v>
      </c>
      <c r="G57" s="18"/>
      <c r="H57" s="18" t="s">
        <v>368</v>
      </c>
      <c r="I57" s="18"/>
      <c r="J57" s="18"/>
      <c r="K57" s="18" t="s">
        <v>369</v>
      </c>
      <c r="L57" s="18"/>
      <c r="M57" s="18" t="s">
        <v>111</v>
      </c>
      <c r="N57" s="19" t="s">
        <v>370</v>
      </c>
    </row>
    <row r="58" s="8" customFormat="1" customHeight="1" spans="1:14">
      <c r="A58" s="17" t="s">
        <v>371</v>
      </c>
      <c r="B58" s="20" t="s">
        <v>371</v>
      </c>
      <c r="C58" s="20" t="s">
        <v>371</v>
      </c>
      <c r="D58" s="20" t="s">
        <v>372</v>
      </c>
      <c r="E58" s="20" t="s">
        <v>372</v>
      </c>
      <c r="F58" s="20" t="s">
        <v>107</v>
      </c>
      <c r="G58" s="20"/>
      <c r="H58" s="20" t="s">
        <v>373</v>
      </c>
      <c r="I58" s="20"/>
      <c r="J58" s="20"/>
      <c r="K58" s="20" t="s">
        <v>374</v>
      </c>
      <c r="L58" s="20"/>
      <c r="M58" s="20" t="s">
        <v>111</v>
      </c>
      <c r="N58" s="21" t="s">
        <v>375</v>
      </c>
    </row>
    <row r="59" s="8" customFormat="1" customHeight="1" spans="1:14">
      <c r="A59" s="17" t="s">
        <v>376</v>
      </c>
      <c r="B59" s="18" t="s">
        <v>376</v>
      </c>
      <c r="C59" s="18" t="s">
        <v>376</v>
      </c>
      <c r="D59" s="18" t="s">
        <v>377</v>
      </c>
      <c r="E59" s="18" t="s">
        <v>377</v>
      </c>
      <c r="F59" s="18" t="s">
        <v>107</v>
      </c>
      <c r="G59" s="18"/>
      <c r="H59" s="18" t="s">
        <v>378</v>
      </c>
      <c r="I59" s="18"/>
      <c r="J59" s="18"/>
      <c r="K59" s="18" t="s">
        <v>379</v>
      </c>
      <c r="L59" s="18" t="s">
        <v>380</v>
      </c>
      <c r="M59" s="18" t="s">
        <v>111</v>
      </c>
      <c r="N59" s="19" t="s">
        <v>381</v>
      </c>
    </row>
    <row r="60" s="8" customFormat="1" customHeight="1" spans="1:14">
      <c r="A60" s="17" t="s">
        <v>382</v>
      </c>
      <c r="B60" s="20" t="s">
        <v>382</v>
      </c>
      <c r="C60" s="20" t="s">
        <v>382</v>
      </c>
      <c r="D60" s="20" t="s">
        <v>383</v>
      </c>
      <c r="E60" s="20" t="s">
        <v>384</v>
      </c>
      <c r="F60" s="20" t="s">
        <v>107</v>
      </c>
      <c r="G60" s="20"/>
      <c r="H60" s="20" t="s">
        <v>385</v>
      </c>
      <c r="I60" s="20"/>
      <c r="J60" s="20"/>
      <c r="K60" s="20" t="s">
        <v>386</v>
      </c>
      <c r="L60" s="20"/>
      <c r="M60" s="20" t="s">
        <v>387</v>
      </c>
      <c r="N60" s="21" t="s">
        <v>388</v>
      </c>
    </row>
    <row r="61" s="8" customFormat="1" customHeight="1" spans="1:14">
      <c r="A61" s="17" t="s">
        <v>389</v>
      </c>
      <c r="B61" s="18" t="s">
        <v>389</v>
      </c>
      <c r="C61" s="18" t="s">
        <v>389</v>
      </c>
      <c r="D61" s="18" t="s">
        <v>390</v>
      </c>
      <c r="E61" s="18" t="s">
        <v>391</v>
      </c>
      <c r="F61" s="18" t="s">
        <v>107</v>
      </c>
      <c r="G61" s="18"/>
      <c r="H61" s="18" t="s">
        <v>392</v>
      </c>
      <c r="I61" s="18"/>
      <c r="J61" s="18"/>
      <c r="K61" s="18" t="s">
        <v>393</v>
      </c>
      <c r="L61" s="18"/>
      <c r="M61" s="18" t="s">
        <v>387</v>
      </c>
      <c r="N61" s="19" t="s">
        <v>394</v>
      </c>
    </row>
    <row r="62" s="8" customFormat="1" customHeight="1" spans="1:14">
      <c r="A62" s="17" t="s">
        <v>395</v>
      </c>
      <c r="B62" s="20" t="s">
        <v>395</v>
      </c>
      <c r="C62" s="20" t="s">
        <v>395</v>
      </c>
      <c r="D62" s="20" t="s">
        <v>396</v>
      </c>
      <c r="E62" s="20" t="s">
        <v>396</v>
      </c>
      <c r="F62" s="20" t="s">
        <v>107</v>
      </c>
      <c r="G62" s="20"/>
      <c r="H62" s="20" t="s">
        <v>397</v>
      </c>
      <c r="I62" s="20"/>
      <c r="J62" s="20"/>
      <c r="K62" s="20" t="s">
        <v>398</v>
      </c>
      <c r="L62" s="20"/>
      <c r="M62" s="20" t="s">
        <v>387</v>
      </c>
      <c r="N62" s="21" t="s">
        <v>399</v>
      </c>
    </row>
    <row r="63" s="8" customFormat="1" customHeight="1" spans="1:14">
      <c r="A63" s="17" t="s">
        <v>400</v>
      </c>
      <c r="B63" s="18" t="s">
        <v>400</v>
      </c>
      <c r="C63" s="18" t="s">
        <v>400</v>
      </c>
      <c r="D63" s="18" t="s">
        <v>401</v>
      </c>
      <c r="E63" s="18" t="s">
        <v>109</v>
      </c>
      <c r="F63" s="18" t="s">
        <v>107</v>
      </c>
      <c r="G63" s="18"/>
      <c r="H63" s="18" t="s">
        <v>402</v>
      </c>
      <c r="I63" s="18" t="s">
        <v>403</v>
      </c>
      <c r="J63" s="18"/>
      <c r="K63" s="18" t="s">
        <v>404</v>
      </c>
      <c r="L63" s="18"/>
      <c r="M63" s="18" t="s">
        <v>387</v>
      </c>
      <c r="N63" s="19" t="s">
        <v>405</v>
      </c>
    </row>
    <row r="64" s="8" customFormat="1" customHeight="1" spans="1:14">
      <c r="A64" s="17" t="s">
        <v>406</v>
      </c>
      <c r="B64" s="20" t="s">
        <v>406</v>
      </c>
      <c r="C64" s="20" t="s">
        <v>406</v>
      </c>
      <c r="D64" s="20" t="s">
        <v>407</v>
      </c>
      <c r="E64" s="20" t="s">
        <v>384</v>
      </c>
      <c r="F64" s="20" t="s">
        <v>107</v>
      </c>
      <c r="G64" s="20"/>
      <c r="H64" s="20" t="s">
        <v>408</v>
      </c>
      <c r="I64" s="20"/>
      <c r="J64" s="20"/>
      <c r="K64" s="20" t="s">
        <v>409</v>
      </c>
      <c r="L64" s="20"/>
      <c r="M64" s="20" t="s">
        <v>387</v>
      </c>
      <c r="N64" s="21" t="s">
        <v>410</v>
      </c>
    </row>
    <row r="65" s="8" customFormat="1" customHeight="1" spans="1:14">
      <c r="A65" s="17" t="s">
        <v>411</v>
      </c>
      <c r="B65" s="18" t="s">
        <v>411</v>
      </c>
      <c r="C65" s="18" t="s">
        <v>411</v>
      </c>
      <c r="D65" s="18" t="s">
        <v>412</v>
      </c>
      <c r="E65" s="18" t="s">
        <v>413</v>
      </c>
      <c r="F65" s="18" t="s">
        <v>107</v>
      </c>
      <c r="G65" s="18"/>
      <c r="H65" s="18" t="s">
        <v>414</v>
      </c>
      <c r="I65" s="18" t="s">
        <v>415</v>
      </c>
      <c r="J65" s="18"/>
      <c r="K65" s="18" t="s">
        <v>416</v>
      </c>
      <c r="L65" s="18"/>
      <c r="M65" s="18" t="s">
        <v>387</v>
      </c>
      <c r="N65" s="19" t="s">
        <v>417</v>
      </c>
    </row>
    <row r="66" s="8" customFormat="1" customHeight="1" spans="1:14">
      <c r="A66" s="17" t="s">
        <v>418</v>
      </c>
      <c r="B66" s="20" t="s">
        <v>418</v>
      </c>
      <c r="C66" s="20" t="s">
        <v>418</v>
      </c>
      <c r="D66" s="20" t="s">
        <v>109</v>
      </c>
      <c r="E66" s="20" t="s">
        <v>109</v>
      </c>
      <c r="F66" s="20" t="s">
        <v>107</v>
      </c>
      <c r="G66" s="20"/>
      <c r="H66" s="20" t="s">
        <v>419</v>
      </c>
      <c r="I66" s="20"/>
      <c r="J66" s="20"/>
      <c r="K66" s="20" t="s">
        <v>420</v>
      </c>
      <c r="L66" s="20"/>
      <c r="M66" s="20" t="s">
        <v>387</v>
      </c>
      <c r="N66" s="21" t="s">
        <v>421</v>
      </c>
    </row>
    <row r="67" s="8" customFormat="1" customHeight="1" spans="1:14">
      <c r="A67" s="17" t="s">
        <v>422</v>
      </c>
      <c r="B67" s="18" t="s">
        <v>422</v>
      </c>
      <c r="C67" s="18" t="s">
        <v>422</v>
      </c>
      <c r="D67" s="18" t="s">
        <v>423</v>
      </c>
      <c r="E67" s="18" t="s">
        <v>109</v>
      </c>
      <c r="F67" s="18" t="s">
        <v>107</v>
      </c>
      <c r="G67" s="18"/>
      <c r="H67" s="18" t="s">
        <v>424</v>
      </c>
      <c r="I67" s="18"/>
      <c r="J67" s="18"/>
      <c r="K67" s="18" t="s">
        <v>425</v>
      </c>
      <c r="L67" s="18"/>
      <c r="M67" s="18" t="s">
        <v>387</v>
      </c>
      <c r="N67" s="19" t="s">
        <v>426</v>
      </c>
    </row>
    <row r="68" s="8" customFormat="1" customHeight="1" spans="1:14">
      <c r="A68" s="17" t="s">
        <v>427</v>
      </c>
      <c r="B68" s="20" t="s">
        <v>427</v>
      </c>
      <c r="C68" s="20" t="s">
        <v>427</v>
      </c>
      <c r="D68" s="20" t="s">
        <v>428</v>
      </c>
      <c r="E68" s="20" t="s">
        <v>109</v>
      </c>
      <c r="F68" s="20" t="s">
        <v>107</v>
      </c>
      <c r="G68" s="20"/>
      <c r="H68" s="20" t="s">
        <v>429</v>
      </c>
      <c r="I68" s="20"/>
      <c r="J68" s="20"/>
      <c r="K68" s="20" t="s">
        <v>430</v>
      </c>
      <c r="L68" s="20"/>
      <c r="M68" s="20" t="s">
        <v>387</v>
      </c>
      <c r="N68" s="21" t="s">
        <v>431</v>
      </c>
    </row>
    <row r="69" s="8" customFormat="1" customHeight="1" spans="1:14">
      <c r="A69" s="17" t="s">
        <v>432</v>
      </c>
      <c r="B69" s="18" t="s">
        <v>432</v>
      </c>
      <c r="C69" s="18" t="s">
        <v>432</v>
      </c>
      <c r="D69" s="18" t="s">
        <v>109</v>
      </c>
      <c r="E69" s="18" t="s">
        <v>109</v>
      </c>
      <c r="F69" s="18" t="s">
        <v>107</v>
      </c>
      <c r="G69" s="18"/>
      <c r="H69" s="18" t="s">
        <v>433</v>
      </c>
      <c r="I69" s="18"/>
      <c r="J69" s="18"/>
      <c r="K69" s="18" t="s">
        <v>434</v>
      </c>
      <c r="L69" s="18"/>
      <c r="M69" s="18" t="s">
        <v>387</v>
      </c>
      <c r="N69" s="19" t="s">
        <v>435</v>
      </c>
    </row>
    <row r="70" s="8" customFormat="1" customHeight="1" spans="1:14">
      <c r="A70" s="17" t="s">
        <v>436</v>
      </c>
      <c r="B70" s="20" t="s">
        <v>436</v>
      </c>
      <c r="C70" s="20" t="s">
        <v>436</v>
      </c>
      <c r="D70" s="20" t="s">
        <v>437</v>
      </c>
      <c r="E70" s="20" t="s">
        <v>438</v>
      </c>
      <c r="F70" s="20" t="s">
        <v>107</v>
      </c>
      <c r="G70" s="20"/>
      <c r="H70" s="20" t="s">
        <v>439</v>
      </c>
      <c r="I70" s="20"/>
      <c r="J70" s="20"/>
      <c r="K70" s="20" t="s">
        <v>440</v>
      </c>
      <c r="L70" s="20"/>
      <c r="M70" s="20" t="s">
        <v>387</v>
      </c>
      <c r="N70" s="21" t="s">
        <v>405</v>
      </c>
    </row>
    <row r="71" s="8" customFormat="1" customHeight="1" spans="1:14">
      <c r="A71" s="17" t="s">
        <v>441</v>
      </c>
      <c r="B71" s="18" t="s">
        <v>441</v>
      </c>
      <c r="C71" s="18" t="s">
        <v>441</v>
      </c>
      <c r="D71" s="18" t="s">
        <v>442</v>
      </c>
      <c r="E71" s="18" t="s">
        <v>442</v>
      </c>
      <c r="F71" s="18" t="s">
        <v>107</v>
      </c>
      <c r="G71" s="18"/>
      <c r="H71" s="18" t="s">
        <v>443</v>
      </c>
      <c r="I71" s="18"/>
      <c r="J71" s="18"/>
      <c r="K71" s="18" t="s">
        <v>444</v>
      </c>
      <c r="L71" s="18"/>
      <c r="M71" s="18" t="s">
        <v>387</v>
      </c>
      <c r="N71" s="19" t="s">
        <v>445</v>
      </c>
    </row>
    <row r="72" s="8" customFormat="1" customHeight="1" spans="1:14">
      <c r="A72" s="17" t="s">
        <v>446</v>
      </c>
      <c r="B72" s="20" t="s">
        <v>446</v>
      </c>
      <c r="C72" s="20" t="s">
        <v>446</v>
      </c>
      <c r="D72" s="20" t="s">
        <v>447</v>
      </c>
      <c r="E72" s="20" t="s">
        <v>447</v>
      </c>
      <c r="F72" s="20" t="s">
        <v>107</v>
      </c>
      <c r="G72" s="20"/>
      <c r="H72" s="20" t="s">
        <v>448</v>
      </c>
      <c r="I72" s="20" t="s">
        <v>449</v>
      </c>
      <c r="J72" s="20"/>
      <c r="K72" s="20" t="s">
        <v>450</v>
      </c>
      <c r="L72" s="20"/>
      <c r="M72" s="20" t="s">
        <v>387</v>
      </c>
      <c r="N72" s="21" t="s">
        <v>451</v>
      </c>
    </row>
    <row r="73" s="8" customFormat="1" customHeight="1" spans="1:14">
      <c r="A73" s="17" t="s">
        <v>452</v>
      </c>
      <c r="B73" s="18" t="s">
        <v>452</v>
      </c>
      <c r="C73" s="18" t="s">
        <v>452</v>
      </c>
      <c r="D73" s="18" t="s">
        <v>453</v>
      </c>
      <c r="E73" s="18" t="s">
        <v>453</v>
      </c>
      <c r="F73" s="18" t="s">
        <v>107</v>
      </c>
      <c r="G73" s="18"/>
      <c r="H73" s="18" t="s">
        <v>454</v>
      </c>
      <c r="I73" s="18"/>
      <c r="J73" s="18"/>
      <c r="K73" s="18" t="s">
        <v>455</v>
      </c>
      <c r="L73" s="18"/>
      <c r="M73" s="18" t="s">
        <v>387</v>
      </c>
      <c r="N73" s="19" t="s">
        <v>456</v>
      </c>
    </row>
    <row r="74" s="8" customFormat="1" customHeight="1" spans="1:14">
      <c r="A74" s="17" t="s">
        <v>457</v>
      </c>
      <c r="B74" s="20" t="s">
        <v>457</v>
      </c>
      <c r="C74" s="20" t="s">
        <v>457</v>
      </c>
      <c r="D74" s="20" t="s">
        <v>458</v>
      </c>
      <c r="E74" s="20" t="s">
        <v>459</v>
      </c>
      <c r="F74" s="20" t="s">
        <v>107</v>
      </c>
      <c r="G74" s="20"/>
      <c r="H74" s="20" t="s">
        <v>460</v>
      </c>
      <c r="I74" s="20"/>
      <c r="J74" s="20"/>
      <c r="K74" s="20" t="s">
        <v>461</v>
      </c>
      <c r="L74" s="20"/>
      <c r="M74" s="20" t="s">
        <v>339</v>
      </c>
      <c r="N74" s="21" t="s">
        <v>462</v>
      </c>
    </row>
    <row r="75" s="8" customFormat="1" customHeight="1" spans="1:14">
      <c r="A75" s="17" t="s">
        <v>463</v>
      </c>
      <c r="B75" s="18" t="s">
        <v>463</v>
      </c>
      <c r="C75" s="18" t="s">
        <v>463</v>
      </c>
      <c r="D75" s="18" t="s">
        <v>464</v>
      </c>
      <c r="E75" s="18" t="s">
        <v>464</v>
      </c>
      <c r="F75" s="18" t="s">
        <v>107</v>
      </c>
      <c r="G75" s="18"/>
      <c r="H75" s="18" t="s">
        <v>465</v>
      </c>
      <c r="I75" s="18" t="s">
        <v>466</v>
      </c>
      <c r="J75" s="18"/>
      <c r="K75" s="18" t="s">
        <v>467</v>
      </c>
      <c r="L75" s="18"/>
      <c r="M75" s="18" t="s">
        <v>339</v>
      </c>
      <c r="N75" s="19" t="s">
        <v>468</v>
      </c>
    </row>
    <row r="76" s="8" customFormat="1" customHeight="1" spans="1:14">
      <c r="A76" s="17" t="s">
        <v>469</v>
      </c>
      <c r="B76" s="20" t="s">
        <v>469</v>
      </c>
      <c r="C76" s="20" t="s">
        <v>469</v>
      </c>
      <c r="D76" s="20" t="s">
        <v>470</v>
      </c>
      <c r="E76" s="20" t="s">
        <v>109</v>
      </c>
      <c r="F76" s="20" t="s">
        <v>107</v>
      </c>
      <c r="G76" s="20"/>
      <c r="H76" s="20" t="s">
        <v>471</v>
      </c>
      <c r="I76" s="20"/>
      <c r="J76" s="20"/>
      <c r="K76" s="20" t="s">
        <v>472</v>
      </c>
      <c r="L76" s="20"/>
      <c r="M76" s="20" t="s">
        <v>339</v>
      </c>
      <c r="N76" s="21" t="s">
        <v>473</v>
      </c>
    </row>
    <row r="77" s="8" customFormat="1" customHeight="1" spans="1:14">
      <c r="A77" s="17" t="s">
        <v>474</v>
      </c>
      <c r="B77" s="18" t="s">
        <v>474</v>
      </c>
      <c r="C77" s="18" t="s">
        <v>474</v>
      </c>
      <c r="D77" s="18" t="s">
        <v>475</v>
      </c>
      <c r="E77" s="18" t="s">
        <v>109</v>
      </c>
      <c r="F77" s="18" t="s">
        <v>107</v>
      </c>
      <c r="G77" s="18"/>
      <c r="H77" s="18" t="s">
        <v>476</v>
      </c>
      <c r="I77" s="18" t="s">
        <v>477</v>
      </c>
      <c r="J77" s="18"/>
      <c r="K77" s="18" t="s">
        <v>478</v>
      </c>
      <c r="L77" s="18"/>
      <c r="M77" s="18" t="s">
        <v>339</v>
      </c>
      <c r="N77" s="19" t="s">
        <v>479</v>
      </c>
    </row>
    <row r="78" s="8" customFormat="1" customHeight="1" spans="1:14">
      <c r="A78" s="17" t="s">
        <v>480</v>
      </c>
      <c r="B78" s="20" t="s">
        <v>481</v>
      </c>
      <c r="C78" s="20" t="s">
        <v>482</v>
      </c>
      <c r="D78" s="20" t="s">
        <v>163</v>
      </c>
      <c r="E78" s="20" t="s">
        <v>163</v>
      </c>
      <c r="F78" s="20" t="s">
        <v>107</v>
      </c>
      <c r="G78" s="20"/>
      <c r="H78" s="20" t="s">
        <v>483</v>
      </c>
      <c r="I78" s="20" t="s">
        <v>484</v>
      </c>
      <c r="J78" s="20"/>
      <c r="K78" s="20" t="s">
        <v>485</v>
      </c>
      <c r="L78" s="20"/>
      <c r="M78" s="20" t="s">
        <v>339</v>
      </c>
      <c r="N78" s="21" t="s">
        <v>486</v>
      </c>
    </row>
    <row r="79" s="8" customFormat="1" customHeight="1" spans="1:14">
      <c r="A79" s="17" t="s">
        <v>487</v>
      </c>
      <c r="B79" s="18" t="s">
        <v>487</v>
      </c>
      <c r="C79" s="18" t="s">
        <v>487</v>
      </c>
      <c r="D79" s="18" t="s">
        <v>488</v>
      </c>
      <c r="E79" s="18" t="s">
        <v>109</v>
      </c>
      <c r="F79" s="18" t="s">
        <v>107</v>
      </c>
      <c r="G79" s="18"/>
      <c r="H79" s="18" t="s">
        <v>489</v>
      </c>
      <c r="I79" s="18" t="s">
        <v>490</v>
      </c>
      <c r="J79" s="18"/>
      <c r="K79" s="18" t="s">
        <v>491</v>
      </c>
      <c r="L79" s="18"/>
      <c r="M79" s="18" t="s">
        <v>339</v>
      </c>
      <c r="N79" s="19" t="s">
        <v>492</v>
      </c>
    </row>
    <row r="80" s="8" customFormat="1" customHeight="1" spans="1:14">
      <c r="A80" s="17" t="s">
        <v>493</v>
      </c>
      <c r="B80" s="20" t="s">
        <v>493</v>
      </c>
      <c r="C80" s="20" t="s">
        <v>493</v>
      </c>
      <c r="D80" s="20" t="s">
        <v>494</v>
      </c>
      <c r="E80" s="20" t="s">
        <v>494</v>
      </c>
      <c r="F80" s="20" t="s">
        <v>107</v>
      </c>
      <c r="G80" s="20"/>
      <c r="H80" s="20" t="s">
        <v>495</v>
      </c>
      <c r="I80" s="20"/>
      <c r="J80" s="20"/>
      <c r="K80" s="20" t="s">
        <v>496</v>
      </c>
      <c r="L80" s="20"/>
      <c r="M80" s="20" t="s">
        <v>339</v>
      </c>
      <c r="N80" s="21" t="s">
        <v>497</v>
      </c>
    </row>
    <row r="81" s="8" customFormat="1" customHeight="1" spans="1:14">
      <c r="A81" s="17" t="s">
        <v>498</v>
      </c>
      <c r="B81" s="18" t="s">
        <v>498</v>
      </c>
      <c r="C81" s="18" t="s">
        <v>498</v>
      </c>
      <c r="D81" s="18" t="s">
        <v>109</v>
      </c>
      <c r="E81" s="18" t="s">
        <v>109</v>
      </c>
      <c r="F81" s="18" t="s">
        <v>107</v>
      </c>
      <c r="G81" s="18"/>
      <c r="H81" s="18" t="s">
        <v>499</v>
      </c>
      <c r="I81" s="18"/>
      <c r="J81" s="18"/>
      <c r="K81" s="18" t="s">
        <v>500</v>
      </c>
      <c r="L81" s="18"/>
      <c r="M81" s="18" t="s">
        <v>339</v>
      </c>
      <c r="N81" s="19" t="s">
        <v>501</v>
      </c>
    </row>
    <row r="82" s="8" customFormat="1" customHeight="1" spans="1:14">
      <c r="A82" s="17" t="s">
        <v>502</v>
      </c>
      <c r="B82" s="20" t="s">
        <v>502</v>
      </c>
      <c r="C82" s="20" t="s">
        <v>502</v>
      </c>
      <c r="D82" s="20" t="s">
        <v>109</v>
      </c>
      <c r="E82" s="20" t="s">
        <v>109</v>
      </c>
      <c r="F82" s="20" t="s">
        <v>107</v>
      </c>
      <c r="G82" s="20"/>
      <c r="H82" s="20" t="s">
        <v>503</v>
      </c>
      <c r="I82" s="20"/>
      <c r="J82" s="20"/>
      <c r="K82" s="20" t="s">
        <v>504</v>
      </c>
      <c r="L82" s="20"/>
      <c r="M82" s="20" t="s">
        <v>339</v>
      </c>
      <c r="N82" s="21" t="s">
        <v>505</v>
      </c>
    </row>
    <row r="83" s="8" customFormat="1" customHeight="1" spans="1:14">
      <c r="A83" s="17" t="s">
        <v>506</v>
      </c>
      <c r="B83" s="18" t="s">
        <v>506</v>
      </c>
      <c r="C83" s="18" t="s">
        <v>506</v>
      </c>
      <c r="D83" s="18" t="s">
        <v>507</v>
      </c>
      <c r="E83" s="18" t="s">
        <v>507</v>
      </c>
      <c r="F83" s="18" t="s">
        <v>107</v>
      </c>
      <c r="G83" s="18"/>
      <c r="H83" s="18" t="s">
        <v>508</v>
      </c>
      <c r="I83" s="18"/>
      <c r="J83" s="18"/>
      <c r="K83" s="18" t="s">
        <v>509</v>
      </c>
      <c r="L83" s="18"/>
      <c r="M83" s="18" t="s">
        <v>339</v>
      </c>
      <c r="N83" s="19" t="s">
        <v>510</v>
      </c>
    </row>
    <row r="84" s="8" customFormat="1" customHeight="1" spans="1:14">
      <c r="A84" s="17" t="s">
        <v>511</v>
      </c>
      <c r="B84" s="20" t="s">
        <v>511</v>
      </c>
      <c r="C84" s="20" t="s">
        <v>511</v>
      </c>
      <c r="D84" s="20" t="s">
        <v>512</v>
      </c>
      <c r="E84" s="20" t="s">
        <v>512</v>
      </c>
      <c r="F84" s="20" t="s">
        <v>107</v>
      </c>
      <c r="G84" s="20"/>
      <c r="H84" s="20" t="s">
        <v>513</v>
      </c>
      <c r="I84" s="20" t="s">
        <v>514</v>
      </c>
      <c r="J84" s="20"/>
      <c r="K84" s="20" t="s">
        <v>515</v>
      </c>
      <c r="L84" s="20"/>
      <c r="M84" s="20" t="s">
        <v>339</v>
      </c>
      <c r="N84" s="21" t="s">
        <v>516</v>
      </c>
    </row>
    <row r="85" s="8" customFormat="1" customHeight="1" spans="1:14">
      <c r="A85" s="17" t="s">
        <v>517</v>
      </c>
      <c r="B85" s="18" t="s">
        <v>517</v>
      </c>
      <c r="C85" s="18" t="s">
        <v>517</v>
      </c>
      <c r="D85" s="18" t="s">
        <v>518</v>
      </c>
      <c r="E85" s="18" t="s">
        <v>519</v>
      </c>
      <c r="F85" s="18" t="s">
        <v>107</v>
      </c>
      <c r="G85" s="18"/>
      <c r="H85" s="18" t="s">
        <v>520</v>
      </c>
      <c r="I85" s="18"/>
      <c r="J85" s="18"/>
      <c r="K85" s="18" t="s">
        <v>521</v>
      </c>
      <c r="L85" s="18"/>
      <c r="M85" s="18" t="s">
        <v>339</v>
      </c>
      <c r="N85" s="19" t="s">
        <v>522</v>
      </c>
    </row>
    <row r="86" s="8" customFormat="1" customHeight="1" spans="1:14">
      <c r="A86" s="17" t="s">
        <v>523</v>
      </c>
      <c r="B86" s="20" t="s">
        <v>523</v>
      </c>
      <c r="C86" s="20" t="s">
        <v>523</v>
      </c>
      <c r="D86" s="20" t="s">
        <v>109</v>
      </c>
      <c r="E86" s="20" t="s">
        <v>109</v>
      </c>
      <c r="F86" s="20" t="s">
        <v>107</v>
      </c>
      <c r="G86" s="20"/>
      <c r="H86" s="20" t="s">
        <v>524</v>
      </c>
      <c r="I86" s="20" t="s">
        <v>525</v>
      </c>
      <c r="J86" s="20"/>
      <c r="K86" s="20" t="s">
        <v>526</v>
      </c>
      <c r="L86" s="20"/>
      <c r="M86" s="20" t="s">
        <v>339</v>
      </c>
      <c r="N86" s="21" t="s">
        <v>527</v>
      </c>
    </row>
    <row r="87" s="8" customFormat="1" customHeight="1" spans="1:14">
      <c r="A87" s="17" t="s">
        <v>528</v>
      </c>
      <c r="B87" s="18" t="s">
        <v>528</v>
      </c>
      <c r="C87" s="18" t="s">
        <v>528</v>
      </c>
      <c r="D87" s="18" t="s">
        <v>529</v>
      </c>
      <c r="E87" s="18" t="s">
        <v>529</v>
      </c>
      <c r="F87" s="18" t="s">
        <v>107</v>
      </c>
      <c r="G87" s="18"/>
      <c r="H87" s="18" t="s">
        <v>530</v>
      </c>
      <c r="I87" s="18"/>
      <c r="J87" s="18"/>
      <c r="K87" s="18" t="s">
        <v>531</v>
      </c>
      <c r="L87" s="18"/>
      <c r="M87" s="18" t="s">
        <v>339</v>
      </c>
      <c r="N87" s="19" t="s">
        <v>528</v>
      </c>
    </row>
    <row r="88" s="8" customFormat="1" customHeight="1" spans="1:14">
      <c r="A88" s="17" t="s">
        <v>532</v>
      </c>
      <c r="B88" s="20" t="s">
        <v>532</v>
      </c>
      <c r="C88" s="20" t="s">
        <v>532</v>
      </c>
      <c r="D88" s="20" t="s">
        <v>533</v>
      </c>
      <c r="E88" s="20" t="s">
        <v>109</v>
      </c>
      <c r="F88" s="20" t="s">
        <v>107</v>
      </c>
      <c r="G88" s="20"/>
      <c r="H88" s="20" t="s">
        <v>534</v>
      </c>
      <c r="I88" s="20" t="s">
        <v>496</v>
      </c>
      <c r="J88" s="20"/>
      <c r="K88" s="20" t="s">
        <v>338</v>
      </c>
      <c r="L88" s="20"/>
      <c r="M88" s="20" t="s">
        <v>339</v>
      </c>
      <c r="N88" s="21" t="s">
        <v>462</v>
      </c>
    </row>
    <row r="89" s="8" customFormat="1" customHeight="1" spans="1:14">
      <c r="A89" s="17" t="s">
        <v>535</v>
      </c>
      <c r="B89" s="18" t="s">
        <v>535</v>
      </c>
      <c r="C89" s="18" t="s">
        <v>535</v>
      </c>
      <c r="D89" s="18" t="s">
        <v>109</v>
      </c>
      <c r="E89" s="18" t="s">
        <v>109</v>
      </c>
      <c r="F89" s="18" t="s">
        <v>107</v>
      </c>
      <c r="G89" s="18"/>
      <c r="H89" s="18" t="s">
        <v>489</v>
      </c>
      <c r="I89" s="18"/>
      <c r="J89" s="18"/>
      <c r="K89" s="18" t="s">
        <v>491</v>
      </c>
      <c r="L89" s="18"/>
      <c r="M89" s="18" t="s">
        <v>339</v>
      </c>
      <c r="N89" s="19" t="s">
        <v>535</v>
      </c>
    </row>
    <row r="90" s="8" customFormat="1" customHeight="1" spans="1:14">
      <c r="A90" s="17" t="s">
        <v>536</v>
      </c>
      <c r="B90" s="20" t="s">
        <v>536</v>
      </c>
      <c r="C90" s="20" t="s">
        <v>536</v>
      </c>
      <c r="D90" s="20" t="s">
        <v>537</v>
      </c>
      <c r="E90" s="20" t="s">
        <v>537</v>
      </c>
      <c r="F90" s="20" t="s">
        <v>107</v>
      </c>
      <c r="G90" s="20"/>
      <c r="H90" s="20" t="s">
        <v>538</v>
      </c>
      <c r="I90" s="20"/>
      <c r="J90" s="20"/>
      <c r="K90" s="20" t="s">
        <v>539</v>
      </c>
      <c r="L90" s="20"/>
      <c r="M90" s="20" t="s">
        <v>339</v>
      </c>
      <c r="N90" s="21" t="s">
        <v>540</v>
      </c>
    </row>
    <row r="91" s="8" customFormat="1" customHeight="1" spans="1:14">
      <c r="A91" s="17" t="s">
        <v>541</v>
      </c>
      <c r="B91" s="18" t="s">
        <v>541</v>
      </c>
      <c r="C91" s="18" t="s">
        <v>541</v>
      </c>
      <c r="D91" s="18" t="s">
        <v>542</v>
      </c>
      <c r="E91" s="18" t="s">
        <v>542</v>
      </c>
      <c r="F91" s="18" t="s">
        <v>107</v>
      </c>
      <c r="G91" s="18"/>
      <c r="H91" s="18" t="s">
        <v>543</v>
      </c>
      <c r="I91" s="18"/>
      <c r="J91" s="18"/>
      <c r="K91" s="18" t="s">
        <v>544</v>
      </c>
      <c r="L91" s="18" t="s">
        <v>496</v>
      </c>
      <c r="M91" s="18" t="s">
        <v>339</v>
      </c>
      <c r="N91" s="19" t="s">
        <v>545</v>
      </c>
    </row>
    <row r="92" s="8" customFormat="1" customHeight="1" spans="1:14">
      <c r="A92" s="17" t="s">
        <v>546</v>
      </c>
      <c r="B92" s="20" t="s">
        <v>546</v>
      </c>
      <c r="C92" s="20" t="s">
        <v>546</v>
      </c>
      <c r="D92" s="20" t="s">
        <v>547</v>
      </c>
      <c r="E92" s="20" t="s">
        <v>547</v>
      </c>
      <c r="F92" s="20" t="s">
        <v>107</v>
      </c>
      <c r="G92" s="20"/>
      <c r="H92" s="20" t="s">
        <v>548</v>
      </c>
      <c r="I92" s="20"/>
      <c r="J92" s="20"/>
      <c r="K92" s="20" t="s">
        <v>549</v>
      </c>
      <c r="L92" s="20" t="s">
        <v>550</v>
      </c>
      <c r="M92" s="20" t="s">
        <v>339</v>
      </c>
      <c r="N92" s="21" t="s">
        <v>551</v>
      </c>
    </row>
    <row r="93" s="8" customFormat="1" customHeight="1" spans="1:14">
      <c r="A93" s="17" t="s">
        <v>552</v>
      </c>
      <c r="B93" s="18" t="s">
        <v>552</v>
      </c>
      <c r="C93" s="18" t="s">
        <v>552</v>
      </c>
      <c r="D93" s="18" t="s">
        <v>553</v>
      </c>
      <c r="E93" s="18" t="s">
        <v>109</v>
      </c>
      <c r="F93" s="18" t="s">
        <v>107</v>
      </c>
      <c r="G93" s="18"/>
      <c r="H93" s="18" t="s">
        <v>554</v>
      </c>
      <c r="I93" s="18"/>
      <c r="J93" s="18"/>
      <c r="K93" s="18" t="s">
        <v>555</v>
      </c>
      <c r="L93" s="18"/>
      <c r="M93" s="18" t="s">
        <v>556</v>
      </c>
      <c r="N93" s="19" t="s">
        <v>557</v>
      </c>
    </row>
    <row r="94" s="8" customFormat="1" customHeight="1" spans="1:14">
      <c r="A94" s="17" t="s">
        <v>558</v>
      </c>
      <c r="B94" s="20" t="s">
        <v>558</v>
      </c>
      <c r="C94" s="20" t="s">
        <v>558</v>
      </c>
      <c r="D94" s="20" t="s">
        <v>559</v>
      </c>
      <c r="E94" s="20" t="s">
        <v>559</v>
      </c>
      <c r="F94" s="20" t="s">
        <v>107</v>
      </c>
      <c r="G94" s="20"/>
      <c r="H94" s="20" t="s">
        <v>560</v>
      </c>
      <c r="I94" s="20"/>
      <c r="J94" s="20"/>
      <c r="K94" s="20" t="s">
        <v>561</v>
      </c>
      <c r="L94" s="20"/>
      <c r="M94" s="20" t="s">
        <v>556</v>
      </c>
      <c r="N94" s="21" t="s">
        <v>562</v>
      </c>
    </row>
    <row r="95" s="8" customFormat="1" customHeight="1" spans="1:14">
      <c r="A95" s="17" t="s">
        <v>563</v>
      </c>
      <c r="B95" s="18" t="s">
        <v>563</v>
      </c>
      <c r="C95" s="18" t="s">
        <v>563</v>
      </c>
      <c r="D95" s="18" t="s">
        <v>564</v>
      </c>
      <c r="E95" s="18" t="s">
        <v>109</v>
      </c>
      <c r="F95" s="18" t="s">
        <v>107</v>
      </c>
      <c r="G95" s="18"/>
      <c r="H95" s="18" t="s">
        <v>565</v>
      </c>
      <c r="I95" s="18"/>
      <c r="J95" s="18"/>
      <c r="K95" s="18" t="s">
        <v>566</v>
      </c>
      <c r="L95" s="18"/>
      <c r="M95" s="18" t="s">
        <v>556</v>
      </c>
      <c r="N95" s="19" t="s">
        <v>567</v>
      </c>
    </row>
    <row r="96" s="8" customFormat="1" customHeight="1" spans="1:14">
      <c r="A96" s="17" t="s">
        <v>568</v>
      </c>
      <c r="B96" s="20" t="s">
        <v>568</v>
      </c>
      <c r="C96" s="20" t="s">
        <v>568</v>
      </c>
      <c r="D96" s="20" t="s">
        <v>569</v>
      </c>
      <c r="E96" s="20" t="s">
        <v>109</v>
      </c>
      <c r="F96" s="20" t="s">
        <v>107</v>
      </c>
      <c r="G96" s="20"/>
      <c r="H96" s="20" t="s">
        <v>570</v>
      </c>
      <c r="I96" s="20"/>
      <c r="J96" s="20"/>
      <c r="K96" s="20" t="s">
        <v>571</v>
      </c>
      <c r="L96" s="20"/>
      <c r="M96" s="20" t="s">
        <v>556</v>
      </c>
      <c r="N96" s="21" t="s">
        <v>572</v>
      </c>
    </row>
    <row r="97" s="8" customFormat="1" customHeight="1" spans="1:14">
      <c r="A97" s="17" t="s">
        <v>573</v>
      </c>
      <c r="B97" s="18" t="s">
        <v>573</v>
      </c>
      <c r="C97" s="18" t="s">
        <v>573</v>
      </c>
      <c r="D97" s="18" t="s">
        <v>574</v>
      </c>
      <c r="E97" s="18" t="s">
        <v>575</v>
      </c>
      <c r="F97" s="18" t="s">
        <v>107</v>
      </c>
      <c r="G97" s="18"/>
      <c r="H97" s="18" t="s">
        <v>576</v>
      </c>
      <c r="I97" s="18" t="s">
        <v>577</v>
      </c>
      <c r="J97" s="18"/>
      <c r="K97" s="18" t="s">
        <v>578</v>
      </c>
      <c r="L97" s="18"/>
      <c r="M97" s="18" t="s">
        <v>556</v>
      </c>
      <c r="N97" s="19" t="s">
        <v>579</v>
      </c>
    </row>
    <row r="98" s="8" customFormat="1" customHeight="1" spans="1:14">
      <c r="A98" s="17" t="s">
        <v>580</v>
      </c>
      <c r="B98" s="20" t="s">
        <v>580</v>
      </c>
      <c r="C98" s="20" t="s">
        <v>580</v>
      </c>
      <c r="D98" s="20" t="s">
        <v>581</v>
      </c>
      <c r="E98" s="20" t="s">
        <v>109</v>
      </c>
      <c r="F98" s="20" t="s">
        <v>107</v>
      </c>
      <c r="G98" s="20"/>
      <c r="H98" s="20" t="s">
        <v>582</v>
      </c>
      <c r="I98" s="20"/>
      <c r="J98" s="20"/>
      <c r="K98" s="20" t="s">
        <v>583</v>
      </c>
      <c r="L98" s="20"/>
      <c r="M98" s="20" t="s">
        <v>556</v>
      </c>
      <c r="N98" s="21" t="s">
        <v>584</v>
      </c>
    </row>
    <row r="99" s="8" customFormat="1" customHeight="1" spans="1:14">
      <c r="A99" s="17" t="s">
        <v>585</v>
      </c>
      <c r="B99" s="18" t="s">
        <v>585</v>
      </c>
      <c r="C99" s="18" t="s">
        <v>585</v>
      </c>
      <c r="D99" s="18" t="s">
        <v>586</v>
      </c>
      <c r="E99" s="18" t="s">
        <v>109</v>
      </c>
      <c r="F99" s="18" t="s">
        <v>107</v>
      </c>
      <c r="G99" s="18"/>
      <c r="H99" s="18" t="s">
        <v>560</v>
      </c>
      <c r="I99" s="18"/>
      <c r="J99" s="18"/>
      <c r="K99" s="18" t="s">
        <v>587</v>
      </c>
      <c r="L99" s="18"/>
      <c r="M99" s="18" t="s">
        <v>556</v>
      </c>
      <c r="N99" s="19" t="s">
        <v>562</v>
      </c>
    </row>
    <row r="100" s="8" customFormat="1" customHeight="1" spans="1:14">
      <c r="A100" s="17" t="s">
        <v>588</v>
      </c>
      <c r="B100" s="20" t="s">
        <v>588</v>
      </c>
      <c r="C100" s="20" t="s">
        <v>588</v>
      </c>
      <c r="D100" s="20" t="s">
        <v>109</v>
      </c>
      <c r="E100" s="20" t="s">
        <v>109</v>
      </c>
      <c r="F100" s="20" t="s">
        <v>107</v>
      </c>
      <c r="G100" s="20"/>
      <c r="H100" s="20" t="s">
        <v>589</v>
      </c>
      <c r="I100" s="20"/>
      <c r="J100" s="20"/>
      <c r="K100" s="20" t="s">
        <v>590</v>
      </c>
      <c r="L100" s="20"/>
      <c r="M100" s="20" t="s">
        <v>556</v>
      </c>
      <c r="N100" s="21" t="s">
        <v>591</v>
      </c>
    </row>
    <row r="101" s="8" customFormat="1" customHeight="1" spans="1:14">
      <c r="A101" s="17" t="s">
        <v>592</v>
      </c>
      <c r="B101" s="18" t="s">
        <v>592</v>
      </c>
      <c r="C101" s="18" t="s">
        <v>592</v>
      </c>
      <c r="D101" s="18" t="s">
        <v>109</v>
      </c>
      <c r="E101" s="18" t="s">
        <v>109</v>
      </c>
      <c r="F101" s="18" t="s">
        <v>107</v>
      </c>
      <c r="G101" s="18"/>
      <c r="H101" s="18" t="s">
        <v>593</v>
      </c>
      <c r="I101" s="18"/>
      <c r="J101" s="18"/>
      <c r="K101" s="18" t="s">
        <v>594</v>
      </c>
      <c r="L101" s="18"/>
      <c r="M101" s="18" t="s">
        <v>556</v>
      </c>
      <c r="N101" s="19" t="s">
        <v>595</v>
      </c>
    </row>
    <row r="102" s="8" customFormat="1" customHeight="1" spans="1:14">
      <c r="A102" s="17" t="s">
        <v>596</v>
      </c>
      <c r="B102" s="20" t="s">
        <v>596</v>
      </c>
      <c r="C102" s="20" t="s">
        <v>596</v>
      </c>
      <c r="D102" s="20" t="s">
        <v>109</v>
      </c>
      <c r="E102" s="20" t="s">
        <v>109</v>
      </c>
      <c r="F102" s="20" t="s">
        <v>107</v>
      </c>
      <c r="G102" s="20"/>
      <c r="H102" s="20" t="s">
        <v>597</v>
      </c>
      <c r="I102" s="20"/>
      <c r="J102" s="20"/>
      <c r="K102" s="20" t="s">
        <v>598</v>
      </c>
      <c r="L102" s="20"/>
      <c r="M102" s="20" t="s">
        <v>556</v>
      </c>
      <c r="N102" s="21" t="s">
        <v>599</v>
      </c>
    </row>
    <row r="103" s="8" customFormat="1" customHeight="1" spans="1:14">
      <c r="A103" s="17" t="s">
        <v>600</v>
      </c>
      <c r="B103" s="18" t="s">
        <v>600</v>
      </c>
      <c r="C103" s="18" t="s">
        <v>600</v>
      </c>
      <c r="D103" s="18" t="s">
        <v>601</v>
      </c>
      <c r="E103" s="18" t="s">
        <v>602</v>
      </c>
      <c r="F103" s="18" t="s">
        <v>107</v>
      </c>
      <c r="G103" s="18"/>
      <c r="H103" s="18" t="s">
        <v>603</v>
      </c>
      <c r="I103" s="18"/>
      <c r="J103" s="18"/>
      <c r="K103" s="18" t="s">
        <v>604</v>
      </c>
      <c r="L103" s="18"/>
      <c r="M103" s="18" t="s">
        <v>556</v>
      </c>
      <c r="N103" s="19" t="s">
        <v>584</v>
      </c>
    </row>
    <row r="104" s="8" customFormat="1" customHeight="1" spans="1:14">
      <c r="A104" s="17" t="s">
        <v>605</v>
      </c>
      <c r="B104" s="20" t="s">
        <v>605</v>
      </c>
      <c r="C104" s="20" t="s">
        <v>605</v>
      </c>
      <c r="D104" s="20" t="s">
        <v>606</v>
      </c>
      <c r="E104" s="20" t="s">
        <v>109</v>
      </c>
      <c r="F104" s="20" t="s">
        <v>107</v>
      </c>
      <c r="G104" s="20"/>
      <c r="H104" s="20" t="s">
        <v>607</v>
      </c>
      <c r="I104" s="20"/>
      <c r="J104" s="20"/>
      <c r="K104" s="20" t="s">
        <v>608</v>
      </c>
      <c r="L104" s="20"/>
      <c r="M104" s="20" t="s">
        <v>556</v>
      </c>
      <c r="N104" s="21" t="s">
        <v>609</v>
      </c>
    </row>
    <row r="105" s="8" customFormat="1" customHeight="1" spans="1:14">
      <c r="A105" s="17" t="s">
        <v>610</v>
      </c>
      <c r="B105" s="18" t="s">
        <v>610</v>
      </c>
      <c r="C105" s="18" t="s">
        <v>610</v>
      </c>
      <c r="D105" s="18" t="s">
        <v>611</v>
      </c>
      <c r="E105" s="18" t="s">
        <v>611</v>
      </c>
      <c r="F105" s="18" t="s">
        <v>107</v>
      </c>
      <c r="G105" s="18"/>
      <c r="H105" s="18" t="s">
        <v>612</v>
      </c>
      <c r="I105" s="18"/>
      <c r="J105" s="18"/>
      <c r="K105" s="18" t="s">
        <v>613</v>
      </c>
      <c r="L105" s="18"/>
      <c r="M105" s="18" t="s">
        <v>556</v>
      </c>
      <c r="N105" s="19" t="s">
        <v>614</v>
      </c>
    </row>
    <row r="106" s="8" customFormat="1" customHeight="1" spans="1:14">
      <c r="A106" s="17" t="s">
        <v>615</v>
      </c>
      <c r="B106" s="20" t="s">
        <v>615</v>
      </c>
      <c r="C106" s="20" t="s">
        <v>615</v>
      </c>
      <c r="D106" s="20" t="s">
        <v>616</v>
      </c>
      <c r="E106" s="20" t="s">
        <v>109</v>
      </c>
      <c r="F106" s="20" t="s">
        <v>107</v>
      </c>
      <c r="G106" s="20"/>
      <c r="H106" s="20" t="s">
        <v>617</v>
      </c>
      <c r="I106" s="20" t="s">
        <v>618</v>
      </c>
      <c r="J106" s="20"/>
      <c r="K106" s="20" t="s">
        <v>619</v>
      </c>
      <c r="L106" s="20"/>
      <c r="M106" s="20" t="s">
        <v>556</v>
      </c>
      <c r="N106" s="21" t="s">
        <v>620</v>
      </c>
    </row>
    <row r="107" s="8" customFormat="1" customHeight="1" spans="1:14">
      <c r="A107" s="17" t="s">
        <v>621</v>
      </c>
      <c r="B107" s="18" t="s">
        <v>621</v>
      </c>
      <c r="C107" s="18" t="s">
        <v>621</v>
      </c>
      <c r="D107" s="18" t="s">
        <v>622</v>
      </c>
      <c r="E107" s="18" t="s">
        <v>109</v>
      </c>
      <c r="F107" s="18" t="s">
        <v>107</v>
      </c>
      <c r="G107" s="18"/>
      <c r="H107" s="18" t="s">
        <v>623</v>
      </c>
      <c r="I107" s="18"/>
      <c r="J107" s="18"/>
      <c r="K107" s="18" t="s">
        <v>624</v>
      </c>
      <c r="L107" s="18"/>
      <c r="M107" s="18" t="s">
        <v>556</v>
      </c>
      <c r="N107" s="19" t="s">
        <v>625</v>
      </c>
    </row>
    <row r="108" s="8" customFormat="1" customHeight="1" spans="1:14">
      <c r="A108" s="17" t="s">
        <v>626</v>
      </c>
      <c r="B108" s="20" t="s">
        <v>626</v>
      </c>
      <c r="C108" s="20" t="s">
        <v>626</v>
      </c>
      <c r="D108" s="20" t="s">
        <v>627</v>
      </c>
      <c r="E108" s="20" t="s">
        <v>627</v>
      </c>
      <c r="F108" s="20" t="s">
        <v>107</v>
      </c>
      <c r="G108" s="20"/>
      <c r="H108" s="20" t="s">
        <v>628</v>
      </c>
      <c r="I108" s="20"/>
      <c r="J108" s="20"/>
      <c r="K108" s="20" t="s">
        <v>629</v>
      </c>
      <c r="L108" s="20"/>
      <c r="M108" s="20" t="s">
        <v>556</v>
      </c>
      <c r="N108" s="21" t="s">
        <v>630</v>
      </c>
    </row>
    <row r="109" s="8" customFormat="1" customHeight="1" spans="1:14">
      <c r="A109" s="17" t="s">
        <v>631</v>
      </c>
      <c r="B109" s="18" t="s">
        <v>631</v>
      </c>
      <c r="C109" s="18" t="s">
        <v>631</v>
      </c>
      <c r="D109" s="18" t="s">
        <v>632</v>
      </c>
      <c r="E109" s="18" t="s">
        <v>632</v>
      </c>
      <c r="F109" s="18" t="s">
        <v>107</v>
      </c>
      <c r="G109" s="18"/>
      <c r="H109" s="18" t="s">
        <v>633</v>
      </c>
      <c r="I109" s="18"/>
      <c r="J109" s="18"/>
      <c r="K109" s="18" t="s">
        <v>634</v>
      </c>
      <c r="L109" s="18"/>
      <c r="M109" s="18" t="s">
        <v>556</v>
      </c>
      <c r="N109" s="19" t="s">
        <v>635</v>
      </c>
    </row>
    <row r="110" s="8" customFormat="1" customHeight="1" spans="1:14">
      <c r="A110" s="17" t="s">
        <v>636</v>
      </c>
      <c r="B110" s="20" t="s">
        <v>636</v>
      </c>
      <c r="C110" s="20" t="s">
        <v>636</v>
      </c>
      <c r="D110" s="20" t="s">
        <v>637</v>
      </c>
      <c r="E110" s="20" t="s">
        <v>638</v>
      </c>
      <c r="F110" s="20" t="s">
        <v>107</v>
      </c>
      <c r="G110" s="20"/>
      <c r="H110" s="20" t="s">
        <v>639</v>
      </c>
      <c r="I110" s="20"/>
      <c r="J110" s="20"/>
      <c r="K110" s="20" t="s">
        <v>640</v>
      </c>
      <c r="L110" s="20"/>
      <c r="M110" s="20" t="s">
        <v>641</v>
      </c>
      <c r="N110" s="21" t="s">
        <v>642</v>
      </c>
    </row>
    <row r="111" s="8" customFormat="1" customHeight="1" spans="1:14">
      <c r="A111" s="17" t="s">
        <v>643</v>
      </c>
      <c r="B111" s="18" t="s">
        <v>643</v>
      </c>
      <c r="C111" s="18" t="s">
        <v>643</v>
      </c>
      <c r="D111" s="18" t="s">
        <v>644</v>
      </c>
      <c r="E111" s="18" t="s">
        <v>644</v>
      </c>
      <c r="F111" s="18" t="s">
        <v>107</v>
      </c>
      <c r="G111" s="18"/>
      <c r="H111" s="18" t="s">
        <v>645</v>
      </c>
      <c r="I111" s="18"/>
      <c r="J111" s="18"/>
      <c r="K111" s="18" t="s">
        <v>646</v>
      </c>
      <c r="L111" s="18"/>
      <c r="M111" s="18" t="s">
        <v>641</v>
      </c>
      <c r="N111" s="19" t="s">
        <v>647</v>
      </c>
    </row>
    <row r="112" s="8" customFormat="1" customHeight="1" spans="1:14">
      <c r="A112" s="17" t="s">
        <v>648</v>
      </c>
      <c r="B112" s="20" t="s">
        <v>648</v>
      </c>
      <c r="C112" s="20" t="s">
        <v>648</v>
      </c>
      <c r="D112" s="20" t="s">
        <v>649</v>
      </c>
      <c r="E112" s="20" t="s">
        <v>650</v>
      </c>
      <c r="F112" s="20" t="s">
        <v>107</v>
      </c>
      <c r="G112" s="20"/>
      <c r="H112" s="20" t="s">
        <v>651</v>
      </c>
      <c r="I112" s="20"/>
      <c r="J112" s="20"/>
      <c r="K112" s="20" t="s">
        <v>652</v>
      </c>
      <c r="L112" s="20"/>
      <c r="M112" s="20" t="s">
        <v>641</v>
      </c>
      <c r="N112" s="21" t="s">
        <v>653</v>
      </c>
    </row>
    <row r="113" s="8" customFormat="1" customHeight="1" spans="1:14">
      <c r="A113" s="17" t="s">
        <v>654</v>
      </c>
      <c r="B113" s="18" t="s">
        <v>654</v>
      </c>
      <c r="C113" s="18" t="s">
        <v>654</v>
      </c>
      <c r="D113" s="18" t="s">
        <v>655</v>
      </c>
      <c r="E113" s="18" t="s">
        <v>655</v>
      </c>
      <c r="F113" s="18" t="s">
        <v>107</v>
      </c>
      <c r="G113" s="18"/>
      <c r="H113" s="18" t="s">
        <v>656</v>
      </c>
      <c r="I113" s="18"/>
      <c r="J113" s="18"/>
      <c r="K113" s="18" t="s">
        <v>657</v>
      </c>
      <c r="L113" s="18"/>
      <c r="M113" s="18" t="s">
        <v>641</v>
      </c>
      <c r="N113" s="19" t="s">
        <v>658</v>
      </c>
    </row>
    <row r="114" s="8" customFormat="1" customHeight="1" spans="1:14">
      <c r="A114" s="17" t="s">
        <v>659</v>
      </c>
      <c r="B114" s="20" t="s">
        <v>482</v>
      </c>
      <c r="C114" s="20" t="s">
        <v>482</v>
      </c>
      <c r="D114" s="20" t="s">
        <v>482</v>
      </c>
      <c r="E114" s="20" t="s">
        <v>660</v>
      </c>
      <c r="F114" s="20" t="s">
        <v>107</v>
      </c>
      <c r="G114" s="20"/>
      <c r="H114" s="20" t="s">
        <v>661</v>
      </c>
      <c r="I114" s="20" t="s">
        <v>662</v>
      </c>
      <c r="J114" s="20"/>
      <c r="K114" s="20" t="s">
        <v>663</v>
      </c>
      <c r="L114" s="20"/>
      <c r="M114" s="20" t="s">
        <v>339</v>
      </c>
      <c r="N114" s="21" t="s">
        <v>664</v>
      </c>
    </row>
    <row r="115" s="8" customFormat="1" customHeight="1" spans="1:14">
      <c r="A115" s="17" t="s">
        <v>665</v>
      </c>
      <c r="B115" s="18" t="s">
        <v>666</v>
      </c>
      <c r="C115" s="18" t="s">
        <v>162</v>
      </c>
      <c r="D115" s="18" t="s">
        <v>667</v>
      </c>
      <c r="E115" s="18" t="s">
        <v>109</v>
      </c>
      <c r="F115" s="18" t="s">
        <v>107</v>
      </c>
      <c r="G115" s="18"/>
      <c r="H115" s="18" t="s">
        <v>668</v>
      </c>
      <c r="I115" s="18" t="s">
        <v>669</v>
      </c>
      <c r="J115" s="18"/>
      <c r="K115" s="18" t="s">
        <v>670</v>
      </c>
      <c r="L115" s="18"/>
      <c r="M115" s="18" t="s">
        <v>641</v>
      </c>
      <c r="N115" s="19" t="s">
        <v>671</v>
      </c>
    </row>
    <row r="116" s="8" customFormat="1" customHeight="1" spans="1:14">
      <c r="A116" s="17" t="s">
        <v>672</v>
      </c>
      <c r="B116" s="20" t="s">
        <v>673</v>
      </c>
      <c r="C116" s="20" t="s">
        <v>364</v>
      </c>
      <c r="D116" s="20" t="s">
        <v>674</v>
      </c>
      <c r="E116" s="20" t="s">
        <v>674</v>
      </c>
      <c r="F116" s="20" t="s">
        <v>107</v>
      </c>
      <c r="G116" s="20"/>
      <c r="H116" s="20" t="s">
        <v>675</v>
      </c>
      <c r="I116" s="20"/>
      <c r="J116" s="20"/>
      <c r="K116" s="20" t="s">
        <v>676</v>
      </c>
      <c r="L116" s="20"/>
      <c r="M116" s="20" t="s">
        <v>641</v>
      </c>
      <c r="N116" s="21" t="s">
        <v>677</v>
      </c>
    </row>
    <row r="117" s="8" customFormat="1" customHeight="1" spans="1:14">
      <c r="A117" s="17" t="s">
        <v>678</v>
      </c>
      <c r="B117" s="18" t="s">
        <v>679</v>
      </c>
      <c r="C117" s="18" t="s">
        <v>276</v>
      </c>
      <c r="D117" s="18" t="s">
        <v>680</v>
      </c>
      <c r="E117" s="18" t="s">
        <v>680</v>
      </c>
      <c r="F117" s="18" t="s">
        <v>107</v>
      </c>
      <c r="G117" s="18"/>
      <c r="H117" s="18" t="s">
        <v>681</v>
      </c>
      <c r="I117" s="18"/>
      <c r="J117" s="18"/>
      <c r="K117" s="18" t="s">
        <v>682</v>
      </c>
      <c r="L117" s="18"/>
      <c r="M117" s="18" t="s">
        <v>641</v>
      </c>
      <c r="N117" s="19" t="s">
        <v>683</v>
      </c>
    </row>
    <row r="118" s="8" customFormat="1" customHeight="1" spans="1:14">
      <c r="A118" s="17" t="s">
        <v>684</v>
      </c>
      <c r="B118" s="20" t="s">
        <v>685</v>
      </c>
      <c r="C118" s="20" t="s">
        <v>253</v>
      </c>
      <c r="D118" s="20" t="s">
        <v>686</v>
      </c>
      <c r="E118" s="20" t="s">
        <v>687</v>
      </c>
      <c r="F118" s="20" t="s">
        <v>107</v>
      </c>
      <c r="G118" s="20"/>
      <c r="H118" s="20" t="s">
        <v>688</v>
      </c>
      <c r="I118" s="20"/>
      <c r="J118" s="20"/>
      <c r="K118" s="20" t="s">
        <v>689</v>
      </c>
      <c r="L118" s="20"/>
      <c r="M118" s="20" t="s">
        <v>641</v>
      </c>
      <c r="N118" s="21" t="s">
        <v>690</v>
      </c>
    </row>
    <row r="119" s="8" customFormat="1" customHeight="1" spans="1:14">
      <c r="A119" s="17" t="s">
        <v>691</v>
      </c>
      <c r="B119" s="18" t="s">
        <v>692</v>
      </c>
      <c r="C119" s="18" t="s">
        <v>546</v>
      </c>
      <c r="D119" s="18" t="s">
        <v>547</v>
      </c>
      <c r="E119" s="18" t="s">
        <v>547</v>
      </c>
      <c r="F119" s="18" t="s">
        <v>107</v>
      </c>
      <c r="G119" s="18"/>
      <c r="H119" s="18" t="s">
        <v>548</v>
      </c>
      <c r="I119" s="18"/>
      <c r="J119" s="18"/>
      <c r="K119" s="18" t="s">
        <v>549</v>
      </c>
      <c r="L119" s="18" t="s">
        <v>550</v>
      </c>
      <c r="M119" s="18" t="s">
        <v>339</v>
      </c>
      <c r="N119" s="19" t="s">
        <v>551</v>
      </c>
    </row>
    <row r="120" s="8" customFormat="1" customHeight="1" spans="1:14">
      <c r="A120" s="17" t="s">
        <v>693</v>
      </c>
      <c r="B120" s="20" t="s">
        <v>693</v>
      </c>
      <c r="C120" s="20" t="s">
        <v>693</v>
      </c>
      <c r="D120" s="20" t="s">
        <v>163</v>
      </c>
      <c r="E120" s="20" t="s">
        <v>694</v>
      </c>
      <c r="F120" s="20" t="s">
        <v>107</v>
      </c>
      <c r="G120" s="20"/>
      <c r="H120" s="20" t="s">
        <v>165</v>
      </c>
      <c r="I120" s="20"/>
      <c r="J120" s="20"/>
      <c r="K120" s="20" t="s">
        <v>166</v>
      </c>
      <c r="L120" s="20" t="s">
        <v>167</v>
      </c>
      <c r="M120" s="20" t="s">
        <v>111</v>
      </c>
      <c r="N120" s="21" t="s">
        <v>168</v>
      </c>
    </row>
    <row r="121" s="8" customFormat="1" customHeight="1" spans="1:14">
      <c r="A121" s="17" t="s">
        <v>695</v>
      </c>
      <c r="B121" s="18" t="s">
        <v>695</v>
      </c>
      <c r="C121" s="18" t="s">
        <v>695</v>
      </c>
      <c r="D121" s="18" t="s">
        <v>109</v>
      </c>
      <c r="E121" s="18"/>
      <c r="F121" s="18"/>
      <c r="G121" s="18"/>
      <c r="H121" s="18" t="s">
        <v>696</v>
      </c>
      <c r="I121" s="18" t="s">
        <v>697</v>
      </c>
      <c r="J121" s="18"/>
      <c r="K121" s="18" t="s">
        <v>698</v>
      </c>
      <c r="L121" s="18" t="s">
        <v>699</v>
      </c>
      <c r="M121" s="18" t="s">
        <v>387</v>
      </c>
      <c r="N121" s="19" t="s">
        <v>700</v>
      </c>
    </row>
    <row r="122" s="8" customFormat="1" customHeight="1" spans="1:14">
      <c r="A122" s="17" t="s">
        <v>701</v>
      </c>
      <c r="B122" s="20" t="s">
        <v>701</v>
      </c>
      <c r="C122" s="20" t="s">
        <v>701</v>
      </c>
      <c r="D122" s="20" t="s">
        <v>702</v>
      </c>
      <c r="E122" s="20" t="s">
        <v>702</v>
      </c>
      <c r="F122" s="20"/>
      <c r="G122" s="20"/>
      <c r="H122" s="20" t="s">
        <v>703</v>
      </c>
      <c r="I122" s="20"/>
      <c r="J122" s="20"/>
      <c r="K122" s="20" t="s">
        <v>704</v>
      </c>
      <c r="L122" s="20"/>
      <c r="M122" s="20" t="s">
        <v>339</v>
      </c>
      <c r="N122" s="21" t="s">
        <v>705</v>
      </c>
    </row>
    <row r="123" s="8" customFormat="1" customHeight="1" spans="1:14">
      <c r="A123" s="17" t="s">
        <v>276</v>
      </c>
      <c r="B123" s="18" t="s">
        <v>276</v>
      </c>
      <c r="C123" s="18" t="s">
        <v>276</v>
      </c>
      <c r="D123" s="18" t="s">
        <v>163</v>
      </c>
      <c r="E123" s="18" t="s">
        <v>277</v>
      </c>
      <c r="F123" s="18" t="s">
        <v>107</v>
      </c>
      <c r="G123" s="18"/>
      <c r="H123" s="18" t="s">
        <v>165</v>
      </c>
      <c r="I123" s="18"/>
      <c r="J123" s="18"/>
      <c r="K123" s="18" t="s">
        <v>166</v>
      </c>
      <c r="L123" s="18" t="s">
        <v>167</v>
      </c>
      <c r="M123" s="18" t="s">
        <v>111</v>
      </c>
      <c r="N123" s="19" t="s">
        <v>168</v>
      </c>
    </row>
    <row r="124" s="8" customFormat="1" customHeight="1" spans="1:14">
      <c r="A124" s="17" t="s">
        <v>271</v>
      </c>
      <c r="B124" s="20" t="s">
        <v>271</v>
      </c>
      <c r="C124" s="20" t="s">
        <v>271</v>
      </c>
      <c r="D124" s="20" t="s">
        <v>163</v>
      </c>
      <c r="E124" s="20" t="s">
        <v>272</v>
      </c>
      <c r="F124" s="20" t="s">
        <v>107</v>
      </c>
      <c r="G124" s="20"/>
      <c r="H124" s="20" t="s">
        <v>165</v>
      </c>
      <c r="I124" s="20"/>
      <c r="J124" s="20"/>
      <c r="K124" s="20" t="s">
        <v>166</v>
      </c>
      <c r="L124" s="20" t="s">
        <v>167</v>
      </c>
      <c r="M124" s="20" t="s">
        <v>111</v>
      </c>
      <c r="N124" s="21" t="s">
        <v>168</v>
      </c>
    </row>
    <row r="125" s="8" customFormat="1" customHeight="1" spans="1:14">
      <c r="A125" s="17" t="s">
        <v>261</v>
      </c>
      <c r="B125" s="18" t="s">
        <v>261</v>
      </c>
      <c r="C125" s="18" t="s">
        <v>261</v>
      </c>
      <c r="D125" s="18" t="s">
        <v>163</v>
      </c>
      <c r="E125" s="18" t="s">
        <v>262</v>
      </c>
      <c r="F125" s="18" t="s">
        <v>107</v>
      </c>
      <c r="G125" s="18"/>
      <c r="H125" s="18" t="s">
        <v>165</v>
      </c>
      <c r="I125" s="18"/>
      <c r="J125" s="18"/>
      <c r="K125" s="18" t="s">
        <v>166</v>
      </c>
      <c r="L125" s="18" t="s">
        <v>167</v>
      </c>
      <c r="M125" s="18" t="s">
        <v>111</v>
      </c>
      <c r="N125" s="19" t="s">
        <v>168</v>
      </c>
    </row>
    <row r="126" s="8" customFormat="1" customHeight="1" spans="1:14">
      <c r="A126" s="17" t="s">
        <v>253</v>
      </c>
      <c r="B126" s="20" t="s">
        <v>253</v>
      </c>
      <c r="C126" s="20" t="s">
        <v>253</v>
      </c>
      <c r="D126" s="20" t="s">
        <v>163</v>
      </c>
      <c r="E126" s="20" t="s">
        <v>254</v>
      </c>
      <c r="F126" s="20" t="s">
        <v>107</v>
      </c>
      <c r="G126" s="20"/>
      <c r="H126" s="20" t="s">
        <v>165</v>
      </c>
      <c r="I126" s="20"/>
      <c r="J126" s="20"/>
      <c r="K126" s="20" t="s">
        <v>166</v>
      </c>
      <c r="L126" s="20" t="s">
        <v>167</v>
      </c>
      <c r="M126" s="20" t="s">
        <v>111</v>
      </c>
      <c r="N126" s="21" t="s">
        <v>168</v>
      </c>
    </row>
    <row r="127" s="8" customFormat="1" customHeight="1" spans="1:14">
      <c r="A127" s="17" t="s">
        <v>320</v>
      </c>
      <c r="B127" s="18" t="s">
        <v>320</v>
      </c>
      <c r="C127" s="18" t="s">
        <v>320</v>
      </c>
      <c r="D127" s="18" t="s">
        <v>163</v>
      </c>
      <c r="E127" s="18" t="s">
        <v>706</v>
      </c>
      <c r="F127" s="18" t="s">
        <v>107</v>
      </c>
      <c r="G127" s="18"/>
      <c r="H127" s="18" t="s">
        <v>165</v>
      </c>
      <c r="I127" s="18"/>
      <c r="J127" s="18"/>
      <c r="K127" s="18" t="s">
        <v>166</v>
      </c>
      <c r="L127" s="18" t="s">
        <v>167</v>
      </c>
      <c r="M127" s="18" t="s">
        <v>111</v>
      </c>
      <c r="N127" s="19" t="s">
        <v>168</v>
      </c>
    </row>
    <row r="128" s="8" customFormat="1" customHeight="1" spans="1:14">
      <c r="A128" s="17" t="s">
        <v>266</v>
      </c>
      <c r="B128" s="20" t="s">
        <v>266</v>
      </c>
      <c r="C128" s="20" t="s">
        <v>266</v>
      </c>
      <c r="D128" s="20" t="s">
        <v>163</v>
      </c>
      <c r="E128" s="20" t="s">
        <v>707</v>
      </c>
      <c r="F128" s="20" t="s">
        <v>107</v>
      </c>
      <c r="G128" s="20"/>
      <c r="H128" s="20" t="s">
        <v>165</v>
      </c>
      <c r="I128" s="20"/>
      <c r="J128" s="20"/>
      <c r="K128" s="20" t="s">
        <v>166</v>
      </c>
      <c r="L128" s="20" t="s">
        <v>167</v>
      </c>
      <c r="M128" s="20" t="s">
        <v>111</v>
      </c>
      <c r="N128" s="21" t="s">
        <v>168</v>
      </c>
    </row>
    <row r="129" s="8" customFormat="1" ht="37" customHeight="1" spans="1:14">
      <c r="A129" s="14" t="s">
        <v>708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6"/>
    </row>
    <row r="130" s="8" customFormat="1" customHeight="1" spans="1:14">
      <c r="A130" s="17" t="s">
        <v>709</v>
      </c>
      <c r="B130" s="18" t="s">
        <v>709</v>
      </c>
      <c r="C130" s="18" t="s">
        <v>709</v>
      </c>
      <c r="D130" s="18" t="s">
        <v>710</v>
      </c>
      <c r="E130" s="18" t="s">
        <v>710</v>
      </c>
      <c r="F130" s="18" t="s">
        <v>711</v>
      </c>
      <c r="G130" s="18"/>
      <c r="H130" s="18" t="s">
        <v>712</v>
      </c>
      <c r="I130" s="18" t="s">
        <v>713</v>
      </c>
      <c r="J130" s="18"/>
      <c r="K130" s="18" t="s">
        <v>714</v>
      </c>
      <c r="L130" s="18" t="s">
        <v>715</v>
      </c>
      <c r="M130" s="18" t="s">
        <v>716</v>
      </c>
      <c r="N130" s="19" t="s">
        <v>717</v>
      </c>
    </row>
    <row r="131" s="8" customFormat="1" customHeight="1" spans="1:14">
      <c r="A131" s="17" t="s">
        <v>718</v>
      </c>
      <c r="B131" s="20" t="s">
        <v>718</v>
      </c>
      <c r="C131" s="20" t="s">
        <v>718</v>
      </c>
      <c r="D131" s="20" t="s">
        <v>719</v>
      </c>
      <c r="E131" s="20" t="s">
        <v>719</v>
      </c>
      <c r="F131" s="20" t="s">
        <v>711</v>
      </c>
      <c r="G131" s="20"/>
      <c r="H131" s="20" t="s">
        <v>720</v>
      </c>
      <c r="I131" s="20" t="s">
        <v>721</v>
      </c>
      <c r="J131" s="20"/>
      <c r="K131" s="20" t="s">
        <v>722</v>
      </c>
      <c r="L131" s="20"/>
      <c r="M131" s="20" t="s">
        <v>716</v>
      </c>
      <c r="N131" s="21" t="s">
        <v>723</v>
      </c>
    </row>
    <row r="132" s="8" customFormat="1" customHeight="1" spans="1:14">
      <c r="A132" s="17" t="s">
        <v>724</v>
      </c>
      <c r="B132" s="18" t="s">
        <v>724</v>
      </c>
      <c r="C132" s="18" t="s">
        <v>724</v>
      </c>
      <c r="D132" s="18" t="s">
        <v>725</v>
      </c>
      <c r="E132" s="18" t="s">
        <v>710</v>
      </c>
      <c r="F132" s="18" t="s">
        <v>711</v>
      </c>
      <c r="G132" s="18"/>
      <c r="H132" s="18" t="s">
        <v>726</v>
      </c>
      <c r="I132" s="18"/>
      <c r="J132" s="18"/>
      <c r="K132" s="18" t="s">
        <v>727</v>
      </c>
      <c r="L132" s="18"/>
      <c r="M132" s="18" t="s">
        <v>716</v>
      </c>
      <c r="N132" s="19" t="s">
        <v>728</v>
      </c>
    </row>
    <row r="133" s="8" customFormat="1" customHeight="1" spans="1:14">
      <c r="A133" s="17" t="s">
        <v>729</v>
      </c>
      <c r="B133" s="20" t="s">
        <v>729</v>
      </c>
      <c r="C133" s="20" t="s">
        <v>729</v>
      </c>
      <c r="D133" s="20" t="s">
        <v>730</v>
      </c>
      <c r="E133" s="20" t="s">
        <v>731</v>
      </c>
      <c r="F133" s="20" t="s">
        <v>711</v>
      </c>
      <c r="G133" s="20"/>
      <c r="H133" s="20" t="s">
        <v>732</v>
      </c>
      <c r="I133" s="20"/>
      <c r="J133" s="20"/>
      <c r="K133" s="20" t="s">
        <v>733</v>
      </c>
      <c r="L133" s="20"/>
      <c r="M133" s="20" t="s">
        <v>716</v>
      </c>
      <c r="N133" s="21" t="s">
        <v>734</v>
      </c>
    </row>
    <row r="134" s="8" customFormat="1" customHeight="1" spans="1:14">
      <c r="A134" s="17" t="s">
        <v>5</v>
      </c>
      <c r="B134" s="18" t="s">
        <v>5</v>
      </c>
      <c r="C134" s="18" t="s">
        <v>5</v>
      </c>
      <c r="D134" s="18" t="s">
        <v>735</v>
      </c>
      <c r="E134" s="18" t="s">
        <v>736</v>
      </c>
      <c r="F134" s="18" t="s">
        <v>711</v>
      </c>
      <c r="G134" s="18"/>
      <c r="H134" s="18" t="s">
        <v>737</v>
      </c>
      <c r="I134" s="18" t="s">
        <v>738</v>
      </c>
      <c r="J134" s="18"/>
      <c r="K134" s="18" t="s">
        <v>739</v>
      </c>
      <c r="L134" s="18"/>
      <c r="M134" s="18" t="s">
        <v>716</v>
      </c>
      <c r="N134" s="19" t="s">
        <v>740</v>
      </c>
    </row>
    <row r="135" s="8" customFormat="1" customHeight="1" spans="1:14">
      <c r="A135" s="17" t="s">
        <v>741</v>
      </c>
      <c r="B135" s="20" t="s">
        <v>741</v>
      </c>
      <c r="C135" s="20" t="s">
        <v>741</v>
      </c>
      <c r="D135" s="20" t="s">
        <v>742</v>
      </c>
      <c r="E135" s="20" t="s">
        <v>743</v>
      </c>
      <c r="F135" s="20" t="s">
        <v>711</v>
      </c>
      <c r="G135" s="20"/>
      <c r="H135" s="20" t="s">
        <v>744</v>
      </c>
      <c r="I135" s="20"/>
      <c r="J135" s="20"/>
      <c r="K135" s="20" t="s">
        <v>745</v>
      </c>
      <c r="L135" s="20" t="s">
        <v>746</v>
      </c>
      <c r="M135" s="20" t="s">
        <v>716</v>
      </c>
      <c r="N135" s="21" t="s">
        <v>747</v>
      </c>
    </row>
    <row r="136" s="8" customFormat="1" customHeight="1" spans="1:14">
      <c r="A136" s="17" t="s">
        <v>748</v>
      </c>
      <c r="B136" s="18" t="s">
        <v>748</v>
      </c>
      <c r="C136" s="18" t="s">
        <v>748</v>
      </c>
      <c r="D136" s="18" t="s">
        <v>749</v>
      </c>
      <c r="E136" s="18" t="s">
        <v>109</v>
      </c>
      <c r="F136" s="18" t="s">
        <v>711</v>
      </c>
      <c r="G136" s="18"/>
      <c r="H136" s="18" t="s">
        <v>750</v>
      </c>
      <c r="I136" s="18" t="s">
        <v>751</v>
      </c>
      <c r="J136" s="18"/>
      <c r="K136" s="18" t="s">
        <v>752</v>
      </c>
      <c r="L136" s="18"/>
      <c r="M136" s="18" t="s">
        <v>716</v>
      </c>
      <c r="N136" s="19" t="s">
        <v>753</v>
      </c>
    </row>
    <row r="137" s="8" customFormat="1" customHeight="1" spans="1:14">
      <c r="A137" s="17" t="s">
        <v>754</v>
      </c>
      <c r="B137" s="20" t="s">
        <v>754</v>
      </c>
      <c r="C137" s="20" t="s">
        <v>754</v>
      </c>
      <c r="D137" s="20" t="s">
        <v>109</v>
      </c>
      <c r="E137" s="20" t="s">
        <v>109</v>
      </c>
      <c r="F137" s="20" t="s">
        <v>711</v>
      </c>
      <c r="G137" s="20"/>
      <c r="H137" s="20" t="s">
        <v>755</v>
      </c>
      <c r="I137" s="20"/>
      <c r="J137" s="20"/>
      <c r="K137" s="20" t="s">
        <v>756</v>
      </c>
      <c r="L137" s="20"/>
      <c r="M137" s="20" t="s">
        <v>716</v>
      </c>
      <c r="N137" s="21" t="s">
        <v>757</v>
      </c>
    </row>
    <row r="138" s="8" customFormat="1" customHeight="1" spans="1:14">
      <c r="A138" s="17" t="s">
        <v>758</v>
      </c>
      <c r="B138" s="18" t="s">
        <v>758</v>
      </c>
      <c r="C138" s="18" t="s">
        <v>758</v>
      </c>
      <c r="D138" s="18" t="s">
        <v>759</v>
      </c>
      <c r="E138" s="18" t="s">
        <v>759</v>
      </c>
      <c r="F138" s="18" t="s">
        <v>711</v>
      </c>
      <c r="G138" s="18"/>
      <c r="H138" s="18" t="s">
        <v>760</v>
      </c>
      <c r="I138" s="18"/>
      <c r="J138" s="18"/>
      <c r="K138" s="18" t="s">
        <v>761</v>
      </c>
      <c r="L138" s="18"/>
      <c r="M138" s="18" t="s">
        <v>716</v>
      </c>
      <c r="N138" s="19" t="s">
        <v>762</v>
      </c>
    </row>
    <row r="139" s="8" customFormat="1" customHeight="1" spans="1:14">
      <c r="A139" s="17" t="s">
        <v>763</v>
      </c>
      <c r="B139" s="20" t="s">
        <v>763</v>
      </c>
      <c r="C139" s="20" t="s">
        <v>763</v>
      </c>
      <c r="D139" s="20" t="s">
        <v>109</v>
      </c>
      <c r="E139" s="20" t="s">
        <v>109</v>
      </c>
      <c r="F139" s="20" t="s">
        <v>711</v>
      </c>
      <c r="G139" s="20"/>
      <c r="H139" s="20" t="s">
        <v>764</v>
      </c>
      <c r="I139" s="20" t="s">
        <v>765</v>
      </c>
      <c r="J139" s="20"/>
      <c r="K139" s="20" t="s">
        <v>766</v>
      </c>
      <c r="L139" s="20"/>
      <c r="M139" s="20" t="s">
        <v>716</v>
      </c>
      <c r="N139" s="21" t="s">
        <v>767</v>
      </c>
    </row>
    <row r="140" s="8" customFormat="1" customHeight="1" spans="1:14">
      <c r="A140" s="17" t="s">
        <v>768</v>
      </c>
      <c r="B140" s="18" t="s">
        <v>768</v>
      </c>
      <c r="C140" s="18" t="s">
        <v>768</v>
      </c>
      <c r="D140" s="18" t="s">
        <v>769</v>
      </c>
      <c r="E140" s="18" t="s">
        <v>769</v>
      </c>
      <c r="F140" s="18" t="s">
        <v>711</v>
      </c>
      <c r="G140" s="18"/>
      <c r="H140" s="18" t="s">
        <v>770</v>
      </c>
      <c r="I140" s="18" t="s">
        <v>771</v>
      </c>
      <c r="J140" s="18"/>
      <c r="K140" s="18" t="s">
        <v>772</v>
      </c>
      <c r="L140" s="18"/>
      <c r="M140" s="18" t="s">
        <v>716</v>
      </c>
      <c r="N140" s="19" t="s">
        <v>773</v>
      </c>
    </row>
    <row r="141" s="8" customFormat="1" customHeight="1" spans="1:14">
      <c r="A141" s="17" t="s">
        <v>774</v>
      </c>
      <c r="B141" s="20" t="s">
        <v>774</v>
      </c>
      <c r="C141" s="20" t="s">
        <v>774</v>
      </c>
      <c r="D141" s="20" t="s">
        <v>109</v>
      </c>
      <c r="E141" s="20" t="s">
        <v>109</v>
      </c>
      <c r="F141" s="20" t="s">
        <v>711</v>
      </c>
      <c r="G141" s="20"/>
      <c r="H141" s="20" t="s">
        <v>775</v>
      </c>
      <c r="I141" s="20"/>
      <c r="J141" s="20"/>
      <c r="K141" s="20" t="s">
        <v>776</v>
      </c>
      <c r="L141" s="20" t="s">
        <v>715</v>
      </c>
      <c r="M141" s="20" t="s">
        <v>716</v>
      </c>
      <c r="N141" s="21" t="s">
        <v>777</v>
      </c>
    </row>
    <row r="142" s="8" customFormat="1" customHeight="1" spans="1:14">
      <c r="A142" s="17" t="s">
        <v>778</v>
      </c>
      <c r="B142" s="18" t="s">
        <v>778</v>
      </c>
      <c r="C142" s="18" t="s">
        <v>778</v>
      </c>
      <c r="D142" s="18" t="s">
        <v>779</v>
      </c>
      <c r="E142" s="18" t="s">
        <v>779</v>
      </c>
      <c r="F142" s="18" t="s">
        <v>711</v>
      </c>
      <c r="G142" s="18"/>
      <c r="H142" s="18" t="s">
        <v>780</v>
      </c>
      <c r="I142" s="18"/>
      <c r="J142" s="18"/>
      <c r="K142" s="18" t="s">
        <v>781</v>
      </c>
      <c r="L142" s="18"/>
      <c r="M142" s="18" t="s">
        <v>716</v>
      </c>
      <c r="N142" s="19" t="s">
        <v>782</v>
      </c>
    </row>
    <row r="143" s="8" customFormat="1" customHeight="1" spans="1:14">
      <c r="A143" s="17" t="s">
        <v>783</v>
      </c>
      <c r="B143" s="20" t="s">
        <v>783</v>
      </c>
      <c r="C143" s="20" t="s">
        <v>783</v>
      </c>
      <c r="D143" s="20" t="s">
        <v>109</v>
      </c>
      <c r="E143" s="20" t="s">
        <v>109</v>
      </c>
      <c r="F143" s="20" t="s">
        <v>711</v>
      </c>
      <c r="G143" s="20"/>
      <c r="H143" s="20" t="s">
        <v>784</v>
      </c>
      <c r="I143" s="20"/>
      <c r="J143" s="20"/>
      <c r="K143" s="20" t="s">
        <v>785</v>
      </c>
      <c r="L143" s="20" t="s">
        <v>786</v>
      </c>
      <c r="M143" s="20" t="s">
        <v>716</v>
      </c>
      <c r="N143" s="21" t="s">
        <v>787</v>
      </c>
    </row>
    <row r="144" s="8" customFormat="1" customHeight="1" spans="1:14">
      <c r="A144" s="17" t="s">
        <v>788</v>
      </c>
      <c r="B144" s="18" t="s">
        <v>788</v>
      </c>
      <c r="C144" s="18" t="s">
        <v>788</v>
      </c>
      <c r="D144" s="18" t="s">
        <v>789</v>
      </c>
      <c r="E144" s="18" t="s">
        <v>790</v>
      </c>
      <c r="F144" s="18" t="s">
        <v>711</v>
      </c>
      <c r="G144" s="18"/>
      <c r="H144" s="18" t="s">
        <v>791</v>
      </c>
      <c r="I144" s="18"/>
      <c r="J144" s="18"/>
      <c r="K144" s="18" t="s">
        <v>792</v>
      </c>
      <c r="L144" s="18"/>
      <c r="M144" s="18" t="s">
        <v>716</v>
      </c>
      <c r="N144" s="19" t="s">
        <v>793</v>
      </c>
    </row>
    <row r="145" s="8" customFormat="1" customHeight="1" spans="1:14">
      <c r="A145" s="17" t="s">
        <v>794</v>
      </c>
      <c r="B145" s="20" t="s">
        <v>794</v>
      </c>
      <c r="C145" s="20" t="s">
        <v>794</v>
      </c>
      <c r="D145" s="20" t="s">
        <v>795</v>
      </c>
      <c r="E145" s="20" t="s">
        <v>795</v>
      </c>
      <c r="F145" s="20" t="s">
        <v>711</v>
      </c>
      <c r="G145" s="20"/>
      <c r="H145" s="20" t="s">
        <v>796</v>
      </c>
      <c r="I145" s="20"/>
      <c r="J145" s="20"/>
      <c r="K145" s="20" t="s">
        <v>797</v>
      </c>
      <c r="L145" s="20"/>
      <c r="M145" s="20" t="s">
        <v>716</v>
      </c>
      <c r="N145" s="21" t="s">
        <v>798</v>
      </c>
    </row>
    <row r="146" s="8" customFormat="1" customHeight="1" spans="1:14">
      <c r="A146" s="17" t="s">
        <v>799</v>
      </c>
      <c r="B146" s="18" t="s">
        <v>799</v>
      </c>
      <c r="C146" s="18" t="s">
        <v>799</v>
      </c>
      <c r="D146" s="18" t="s">
        <v>109</v>
      </c>
      <c r="E146" s="18" t="s">
        <v>109</v>
      </c>
      <c r="F146" s="18" t="s">
        <v>711</v>
      </c>
      <c r="G146" s="18"/>
      <c r="H146" s="18" t="s">
        <v>800</v>
      </c>
      <c r="I146" s="18"/>
      <c r="J146" s="18"/>
      <c r="K146" s="18" t="s">
        <v>801</v>
      </c>
      <c r="L146" s="18"/>
      <c r="M146" s="18" t="s">
        <v>716</v>
      </c>
      <c r="N146" s="19" t="s">
        <v>802</v>
      </c>
    </row>
    <row r="147" s="8" customFormat="1" customHeight="1" spans="1:14">
      <c r="A147" s="17" t="s">
        <v>803</v>
      </c>
      <c r="B147" s="20" t="s">
        <v>803</v>
      </c>
      <c r="C147" s="20" t="s">
        <v>803</v>
      </c>
      <c r="D147" s="20" t="s">
        <v>109</v>
      </c>
      <c r="E147" s="20" t="s">
        <v>109</v>
      </c>
      <c r="F147" s="20" t="s">
        <v>711</v>
      </c>
      <c r="G147" s="20"/>
      <c r="H147" s="20" t="s">
        <v>804</v>
      </c>
      <c r="I147" s="20"/>
      <c r="J147" s="20"/>
      <c r="K147" s="20" t="s">
        <v>805</v>
      </c>
      <c r="L147" s="20" t="s">
        <v>806</v>
      </c>
      <c r="M147" s="20" t="s">
        <v>716</v>
      </c>
      <c r="N147" s="21" t="s">
        <v>807</v>
      </c>
    </row>
    <row r="148" s="8" customFormat="1" customHeight="1" spans="1:14">
      <c r="A148" s="17" t="s">
        <v>808</v>
      </c>
      <c r="B148" s="18" t="s">
        <v>808</v>
      </c>
      <c r="C148" s="18" t="s">
        <v>808</v>
      </c>
      <c r="D148" s="18" t="s">
        <v>809</v>
      </c>
      <c r="E148" s="18" t="s">
        <v>809</v>
      </c>
      <c r="F148" s="18" t="s">
        <v>711</v>
      </c>
      <c r="G148" s="18"/>
      <c r="H148" s="18" t="s">
        <v>810</v>
      </c>
      <c r="I148" s="18" t="s">
        <v>811</v>
      </c>
      <c r="J148" s="18"/>
      <c r="K148" s="18" t="s">
        <v>812</v>
      </c>
      <c r="L148" s="18"/>
      <c r="M148" s="18" t="s">
        <v>716</v>
      </c>
      <c r="N148" s="19" t="s">
        <v>813</v>
      </c>
    </row>
    <row r="149" s="8" customFormat="1" customHeight="1" spans="1:14">
      <c r="A149" s="17" t="s">
        <v>814</v>
      </c>
      <c r="B149" s="20" t="s">
        <v>814</v>
      </c>
      <c r="C149" s="20" t="s">
        <v>814</v>
      </c>
      <c r="D149" s="20" t="s">
        <v>815</v>
      </c>
      <c r="E149" s="20" t="s">
        <v>109</v>
      </c>
      <c r="F149" s="20" t="s">
        <v>711</v>
      </c>
      <c r="G149" s="20"/>
      <c r="H149" s="20" t="s">
        <v>816</v>
      </c>
      <c r="I149" s="20"/>
      <c r="J149" s="20"/>
      <c r="K149" s="20" t="s">
        <v>817</v>
      </c>
      <c r="L149" s="20"/>
      <c r="M149" s="20" t="s">
        <v>716</v>
      </c>
      <c r="N149" s="21" t="s">
        <v>818</v>
      </c>
    </row>
    <row r="150" s="8" customFormat="1" customHeight="1" spans="1:14">
      <c r="A150" s="17" t="s">
        <v>819</v>
      </c>
      <c r="B150" s="18" t="s">
        <v>819</v>
      </c>
      <c r="C150" s="18" t="s">
        <v>819</v>
      </c>
      <c r="D150" s="18" t="s">
        <v>820</v>
      </c>
      <c r="E150" s="18" t="s">
        <v>109</v>
      </c>
      <c r="F150" s="18" t="s">
        <v>711</v>
      </c>
      <c r="G150" s="18"/>
      <c r="H150" s="18" t="s">
        <v>821</v>
      </c>
      <c r="I150" s="18"/>
      <c r="J150" s="18"/>
      <c r="K150" s="18" t="s">
        <v>812</v>
      </c>
      <c r="L150" s="18" t="s">
        <v>812</v>
      </c>
      <c r="M150" s="18" t="s">
        <v>716</v>
      </c>
      <c r="N150" s="19" t="s">
        <v>822</v>
      </c>
    </row>
    <row r="151" s="8" customFormat="1" customHeight="1" spans="1:14">
      <c r="A151" s="17" t="s">
        <v>823</v>
      </c>
      <c r="B151" s="20" t="s">
        <v>823</v>
      </c>
      <c r="C151" s="20" t="s">
        <v>823</v>
      </c>
      <c r="D151" s="20" t="s">
        <v>824</v>
      </c>
      <c r="E151" s="20" t="s">
        <v>702</v>
      </c>
      <c r="F151" s="20" t="s">
        <v>711</v>
      </c>
      <c r="G151" s="20"/>
      <c r="H151" s="20" t="s">
        <v>825</v>
      </c>
      <c r="I151" s="20"/>
      <c r="J151" s="20"/>
      <c r="K151" s="20" t="s">
        <v>826</v>
      </c>
      <c r="L151" s="20"/>
      <c r="M151" s="20" t="s">
        <v>716</v>
      </c>
      <c r="N151" s="21" t="s">
        <v>827</v>
      </c>
    </row>
    <row r="152" s="8" customFormat="1" customHeight="1" spans="1:14">
      <c r="A152" s="17" t="s">
        <v>828</v>
      </c>
      <c r="B152" s="18" t="s">
        <v>828</v>
      </c>
      <c r="C152" s="18" t="s">
        <v>828</v>
      </c>
      <c r="D152" s="18" t="s">
        <v>829</v>
      </c>
      <c r="E152" s="18" t="s">
        <v>829</v>
      </c>
      <c r="F152" s="18" t="s">
        <v>711</v>
      </c>
      <c r="G152" s="18"/>
      <c r="H152" s="18" t="s">
        <v>830</v>
      </c>
      <c r="I152" s="18"/>
      <c r="J152" s="18"/>
      <c r="K152" s="18" t="s">
        <v>831</v>
      </c>
      <c r="L152" s="18"/>
      <c r="M152" s="18" t="s">
        <v>716</v>
      </c>
      <c r="N152" s="19" t="s">
        <v>832</v>
      </c>
    </row>
    <row r="153" s="8" customFormat="1" customHeight="1" spans="1:14">
      <c r="A153" s="17" t="s">
        <v>833</v>
      </c>
      <c r="B153" s="20" t="s">
        <v>833</v>
      </c>
      <c r="C153" s="20" t="s">
        <v>833</v>
      </c>
      <c r="D153" s="20" t="s">
        <v>834</v>
      </c>
      <c r="E153" s="20" t="s">
        <v>834</v>
      </c>
      <c r="F153" s="20" t="s">
        <v>711</v>
      </c>
      <c r="G153" s="20"/>
      <c r="H153" s="20" t="s">
        <v>835</v>
      </c>
      <c r="I153" s="20" t="s">
        <v>836</v>
      </c>
      <c r="J153" s="20"/>
      <c r="K153" s="20" t="s">
        <v>831</v>
      </c>
      <c r="L153" s="20"/>
      <c r="M153" s="20" t="s">
        <v>716</v>
      </c>
      <c r="N153" s="21" t="s">
        <v>837</v>
      </c>
    </row>
    <row r="154" s="8" customFormat="1" customHeight="1" spans="1:14">
      <c r="A154" s="17" t="s">
        <v>838</v>
      </c>
      <c r="B154" s="18" t="s">
        <v>838</v>
      </c>
      <c r="C154" s="18" t="s">
        <v>838</v>
      </c>
      <c r="D154" s="18" t="s">
        <v>839</v>
      </c>
      <c r="E154" s="18" t="s">
        <v>839</v>
      </c>
      <c r="F154" s="18" t="s">
        <v>711</v>
      </c>
      <c r="G154" s="18"/>
      <c r="H154" s="18" t="s">
        <v>840</v>
      </c>
      <c r="I154" s="18"/>
      <c r="J154" s="18"/>
      <c r="K154" s="18" t="s">
        <v>841</v>
      </c>
      <c r="L154" s="18"/>
      <c r="M154" s="18" t="s">
        <v>716</v>
      </c>
      <c r="N154" s="19" t="s">
        <v>842</v>
      </c>
    </row>
    <row r="155" s="8" customFormat="1" customHeight="1" spans="1:14">
      <c r="A155" s="17" t="s">
        <v>843</v>
      </c>
      <c r="B155" s="20" t="s">
        <v>843</v>
      </c>
      <c r="C155" s="20" t="s">
        <v>843</v>
      </c>
      <c r="D155" s="20" t="s">
        <v>702</v>
      </c>
      <c r="E155" s="20" t="s">
        <v>702</v>
      </c>
      <c r="F155" s="20" t="s">
        <v>711</v>
      </c>
      <c r="G155" s="20"/>
      <c r="H155" s="20" t="s">
        <v>844</v>
      </c>
      <c r="I155" s="20"/>
      <c r="J155" s="20"/>
      <c r="K155" s="20" t="s">
        <v>845</v>
      </c>
      <c r="L155" s="20"/>
      <c r="M155" s="20" t="s">
        <v>716</v>
      </c>
      <c r="N155" s="21" t="s">
        <v>846</v>
      </c>
    </row>
    <row r="156" s="8" customFormat="1" customHeight="1" spans="1:14">
      <c r="A156" s="17" t="s">
        <v>847</v>
      </c>
      <c r="B156" s="18" t="s">
        <v>847</v>
      </c>
      <c r="C156" s="18" t="s">
        <v>847</v>
      </c>
      <c r="D156" s="18" t="s">
        <v>848</v>
      </c>
      <c r="E156" s="18" t="s">
        <v>848</v>
      </c>
      <c r="F156" s="18" t="s">
        <v>711</v>
      </c>
      <c r="G156" s="18"/>
      <c r="H156" s="18" t="s">
        <v>849</v>
      </c>
      <c r="I156" s="18" t="s">
        <v>850</v>
      </c>
      <c r="J156" s="18"/>
      <c r="K156" s="18" t="s">
        <v>845</v>
      </c>
      <c r="L156" s="18"/>
      <c r="M156" s="18" t="s">
        <v>716</v>
      </c>
      <c r="N156" s="19" t="s">
        <v>851</v>
      </c>
    </row>
    <row r="157" s="8" customFormat="1" customHeight="1" spans="1:14">
      <c r="A157" s="17" t="s">
        <v>852</v>
      </c>
      <c r="B157" s="20" t="s">
        <v>852</v>
      </c>
      <c r="C157" s="20" t="s">
        <v>852</v>
      </c>
      <c r="D157" s="20" t="s">
        <v>853</v>
      </c>
      <c r="E157" s="20" t="s">
        <v>702</v>
      </c>
      <c r="F157" s="20" t="s">
        <v>711</v>
      </c>
      <c r="G157" s="20"/>
      <c r="H157" s="20" t="s">
        <v>854</v>
      </c>
      <c r="I157" s="20"/>
      <c r="J157" s="20"/>
      <c r="K157" s="20" t="s">
        <v>855</v>
      </c>
      <c r="L157" s="20"/>
      <c r="M157" s="20" t="s">
        <v>716</v>
      </c>
      <c r="N157" s="21" t="s">
        <v>856</v>
      </c>
    </row>
    <row r="158" s="8" customFormat="1" customHeight="1" spans="1:14">
      <c r="A158" s="17" t="s">
        <v>857</v>
      </c>
      <c r="B158" s="18" t="s">
        <v>857</v>
      </c>
      <c r="C158" s="18" t="s">
        <v>857</v>
      </c>
      <c r="D158" s="18" t="s">
        <v>858</v>
      </c>
      <c r="E158" s="18" t="s">
        <v>702</v>
      </c>
      <c r="F158" s="18" t="s">
        <v>711</v>
      </c>
      <c r="G158" s="18"/>
      <c r="H158" s="18" t="s">
        <v>859</v>
      </c>
      <c r="I158" s="18"/>
      <c r="J158" s="18"/>
      <c r="K158" s="18" t="s">
        <v>860</v>
      </c>
      <c r="L158" s="18"/>
      <c r="M158" s="18" t="s">
        <v>716</v>
      </c>
      <c r="N158" s="19" t="s">
        <v>861</v>
      </c>
    </row>
    <row r="159" s="8" customFormat="1" customHeight="1" spans="1:14">
      <c r="A159" s="17" t="s">
        <v>862</v>
      </c>
      <c r="B159" s="20" t="s">
        <v>862</v>
      </c>
      <c r="C159" s="20" t="s">
        <v>862</v>
      </c>
      <c r="D159" s="20" t="s">
        <v>863</v>
      </c>
      <c r="E159" s="20" t="s">
        <v>863</v>
      </c>
      <c r="F159" s="20" t="s">
        <v>711</v>
      </c>
      <c r="G159" s="20"/>
      <c r="H159" s="20" t="s">
        <v>864</v>
      </c>
      <c r="I159" s="20"/>
      <c r="J159" s="20"/>
      <c r="K159" s="20" t="s">
        <v>865</v>
      </c>
      <c r="L159" s="20"/>
      <c r="M159" s="20" t="s">
        <v>716</v>
      </c>
      <c r="N159" s="21" t="s">
        <v>866</v>
      </c>
    </row>
    <row r="160" s="8" customFormat="1" customHeight="1" spans="1:14">
      <c r="A160" s="17" t="s">
        <v>867</v>
      </c>
      <c r="B160" s="18" t="s">
        <v>867</v>
      </c>
      <c r="C160" s="18" t="s">
        <v>867</v>
      </c>
      <c r="D160" s="18" t="s">
        <v>868</v>
      </c>
      <c r="E160" s="18" t="s">
        <v>702</v>
      </c>
      <c r="F160" s="18" t="s">
        <v>711</v>
      </c>
      <c r="G160" s="18"/>
      <c r="H160" s="18" t="s">
        <v>869</v>
      </c>
      <c r="I160" s="18"/>
      <c r="J160" s="18"/>
      <c r="K160" s="18" t="s">
        <v>870</v>
      </c>
      <c r="L160" s="18"/>
      <c r="M160" s="18" t="s">
        <v>716</v>
      </c>
      <c r="N160" s="19" t="s">
        <v>871</v>
      </c>
    </row>
    <row r="161" s="8" customFormat="1" customHeight="1" spans="1:14">
      <c r="A161" s="17" t="s">
        <v>872</v>
      </c>
      <c r="B161" s="20" t="s">
        <v>872</v>
      </c>
      <c r="C161" s="20" t="s">
        <v>872</v>
      </c>
      <c r="D161" s="20" t="s">
        <v>873</v>
      </c>
      <c r="E161" s="20" t="s">
        <v>702</v>
      </c>
      <c r="F161" s="20" t="s">
        <v>711</v>
      </c>
      <c r="G161" s="20"/>
      <c r="H161" s="20" t="s">
        <v>874</v>
      </c>
      <c r="I161" s="20"/>
      <c r="J161" s="20"/>
      <c r="K161" s="20" t="s">
        <v>875</v>
      </c>
      <c r="L161" s="20"/>
      <c r="M161" s="20" t="s">
        <v>716</v>
      </c>
      <c r="N161" s="21" t="s">
        <v>876</v>
      </c>
    </row>
    <row r="162" s="8" customFormat="1" customHeight="1" spans="1:14">
      <c r="A162" s="17" t="s">
        <v>877</v>
      </c>
      <c r="B162" s="18" t="s">
        <v>877</v>
      </c>
      <c r="C162" s="18" t="s">
        <v>877</v>
      </c>
      <c r="D162" s="18" t="s">
        <v>878</v>
      </c>
      <c r="E162" s="18" t="s">
        <v>878</v>
      </c>
      <c r="F162" s="18" t="s">
        <v>711</v>
      </c>
      <c r="G162" s="18"/>
      <c r="H162" s="18" t="s">
        <v>879</v>
      </c>
      <c r="I162" s="18" t="s">
        <v>880</v>
      </c>
      <c r="J162" s="18"/>
      <c r="K162" s="18" t="s">
        <v>881</v>
      </c>
      <c r="L162" s="18"/>
      <c r="M162" s="18" t="s">
        <v>716</v>
      </c>
      <c r="N162" s="19" t="s">
        <v>882</v>
      </c>
    </row>
    <row r="163" s="8" customFormat="1" customHeight="1" spans="1:14">
      <c r="A163" s="17" t="s">
        <v>883</v>
      </c>
      <c r="B163" s="20" t="s">
        <v>883</v>
      </c>
      <c r="C163" s="20" t="s">
        <v>883</v>
      </c>
      <c r="D163" s="20" t="s">
        <v>884</v>
      </c>
      <c r="E163" s="20" t="s">
        <v>884</v>
      </c>
      <c r="F163" s="20" t="s">
        <v>711</v>
      </c>
      <c r="G163" s="20"/>
      <c r="H163" s="20" t="s">
        <v>885</v>
      </c>
      <c r="I163" s="20" t="s">
        <v>886</v>
      </c>
      <c r="J163" s="20"/>
      <c r="K163" s="20" t="s">
        <v>887</v>
      </c>
      <c r="L163" s="20" t="s">
        <v>888</v>
      </c>
      <c r="M163" s="20" t="s">
        <v>716</v>
      </c>
      <c r="N163" s="21" t="s">
        <v>889</v>
      </c>
    </row>
    <row r="164" s="8" customFormat="1" customHeight="1" spans="1:14">
      <c r="A164" s="17" t="s">
        <v>890</v>
      </c>
      <c r="B164" s="18" t="s">
        <v>890</v>
      </c>
      <c r="C164" s="18" t="s">
        <v>890</v>
      </c>
      <c r="D164" s="18" t="s">
        <v>891</v>
      </c>
      <c r="E164" s="18" t="s">
        <v>891</v>
      </c>
      <c r="F164" s="18" t="s">
        <v>711</v>
      </c>
      <c r="G164" s="18"/>
      <c r="H164" s="18" t="s">
        <v>892</v>
      </c>
      <c r="I164" s="18"/>
      <c r="J164" s="18"/>
      <c r="K164" s="18" t="s">
        <v>893</v>
      </c>
      <c r="L164" s="18"/>
      <c r="M164" s="18" t="s">
        <v>716</v>
      </c>
      <c r="N164" s="19" t="s">
        <v>894</v>
      </c>
    </row>
    <row r="165" s="8" customFormat="1" customHeight="1" spans="1:14">
      <c r="A165" s="17" t="s">
        <v>895</v>
      </c>
      <c r="B165" s="20" t="s">
        <v>895</v>
      </c>
      <c r="C165" s="20" t="s">
        <v>895</v>
      </c>
      <c r="D165" s="20" t="s">
        <v>896</v>
      </c>
      <c r="E165" s="20" t="s">
        <v>896</v>
      </c>
      <c r="F165" s="20" t="s">
        <v>711</v>
      </c>
      <c r="G165" s="20"/>
      <c r="H165" s="20" t="s">
        <v>897</v>
      </c>
      <c r="I165" s="20"/>
      <c r="J165" s="20"/>
      <c r="K165" s="20" t="s">
        <v>898</v>
      </c>
      <c r="L165" s="20"/>
      <c r="M165" s="20" t="s">
        <v>716</v>
      </c>
      <c r="N165" s="21" t="s">
        <v>899</v>
      </c>
    </row>
    <row r="166" s="8" customFormat="1" customHeight="1" spans="1:14">
      <c r="A166" s="17" t="s">
        <v>900</v>
      </c>
      <c r="B166" s="18" t="s">
        <v>900</v>
      </c>
      <c r="C166" s="18" t="s">
        <v>900</v>
      </c>
      <c r="D166" s="18" t="s">
        <v>901</v>
      </c>
      <c r="E166" s="18" t="s">
        <v>901</v>
      </c>
      <c r="F166" s="18" t="s">
        <v>711</v>
      </c>
      <c r="G166" s="18"/>
      <c r="H166" s="18" t="s">
        <v>902</v>
      </c>
      <c r="I166" s="18"/>
      <c r="J166" s="18"/>
      <c r="K166" s="18" t="s">
        <v>903</v>
      </c>
      <c r="L166" s="18"/>
      <c r="M166" s="18" t="s">
        <v>716</v>
      </c>
      <c r="N166" s="19" t="s">
        <v>904</v>
      </c>
    </row>
    <row r="167" s="8" customFormat="1" customHeight="1" spans="1:14">
      <c r="A167" s="17" t="s">
        <v>905</v>
      </c>
      <c r="B167" s="20" t="s">
        <v>905</v>
      </c>
      <c r="C167" s="20" t="s">
        <v>905</v>
      </c>
      <c r="D167" s="20" t="s">
        <v>906</v>
      </c>
      <c r="E167" s="20" t="s">
        <v>906</v>
      </c>
      <c r="F167" s="20" t="s">
        <v>711</v>
      </c>
      <c r="G167" s="20"/>
      <c r="H167" s="20" t="s">
        <v>907</v>
      </c>
      <c r="I167" s="20"/>
      <c r="J167" s="20"/>
      <c r="K167" s="20" t="s">
        <v>908</v>
      </c>
      <c r="L167" s="20" t="s">
        <v>909</v>
      </c>
      <c r="M167" s="20" t="s">
        <v>716</v>
      </c>
      <c r="N167" s="21" t="s">
        <v>910</v>
      </c>
    </row>
    <row r="168" s="8" customFormat="1" customHeight="1" spans="1:14">
      <c r="A168" s="17" t="s">
        <v>911</v>
      </c>
      <c r="B168" s="18" t="s">
        <v>911</v>
      </c>
      <c r="C168" s="18" t="s">
        <v>911</v>
      </c>
      <c r="D168" s="18" t="s">
        <v>702</v>
      </c>
      <c r="E168" s="18" t="s">
        <v>702</v>
      </c>
      <c r="F168" s="18" t="s">
        <v>711</v>
      </c>
      <c r="G168" s="18"/>
      <c r="H168" s="18" t="s">
        <v>912</v>
      </c>
      <c r="I168" s="18"/>
      <c r="J168" s="18"/>
      <c r="K168" s="18" t="s">
        <v>913</v>
      </c>
      <c r="L168" s="18" t="s">
        <v>914</v>
      </c>
      <c r="M168" s="18" t="s">
        <v>716</v>
      </c>
      <c r="N168" s="19" t="s">
        <v>915</v>
      </c>
    </row>
    <row r="169" s="8" customFormat="1" customHeight="1" spans="1:14">
      <c r="A169" s="17" t="s">
        <v>916</v>
      </c>
      <c r="B169" s="20" t="s">
        <v>916</v>
      </c>
      <c r="C169" s="20" t="s">
        <v>916</v>
      </c>
      <c r="D169" s="20" t="s">
        <v>917</v>
      </c>
      <c r="E169" s="20" t="s">
        <v>109</v>
      </c>
      <c r="F169" s="20" t="s">
        <v>711</v>
      </c>
      <c r="G169" s="20"/>
      <c r="H169" s="20" t="s">
        <v>918</v>
      </c>
      <c r="I169" s="20" t="s">
        <v>919</v>
      </c>
      <c r="J169" s="20"/>
      <c r="K169" s="20" t="s">
        <v>920</v>
      </c>
      <c r="L169" s="20"/>
      <c r="M169" s="20" t="s">
        <v>716</v>
      </c>
      <c r="N169" s="21" t="s">
        <v>921</v>
      </c>
    </row>
    <row r="170" s="8" customFormat="1" customHeight="1" spans="1:14">
      <c r="A170" s="17" t="s">
        <v>922</v>
      </c>
      <c r="B170" s="18" t="s">
        <v>922</v>
      </c>
      <c r="C170" s="18" t="s">
        <v>922</v>
      </c>
      <c r="D170" s="18" t="s">
        <v>923</v>
      </c>
      <c r="E170" s="18" t="s">
        <v>923</v>
      </c>
      <c r="F170" s="18" t="s">
        <v>711</v>
      </c>
      <c r="G170" s="18"/>
      <c r="H170" s="18" t="s">
        <v>924</v>
      </c>
      <c r="I170" s="18" t="s">
        <v>925</v>
      </c>
      <c r="J170" s="18"/>
      <c r="K170" s="18" t="s">
        <v>812</v>
      </c>
      <c r="L170" s="18" t="s">
        <v>926</v>
      </c>
      <c r="M170" s="18" t="s">
        <v>716</v>
      </c>
      <c r="N170" s="19" t="s">
        <v>813</v>
      </c>
    </row>
    <row r="171" s="8" customFormat="1" customHeight="1" spans="1:14">
      <c r="A171" s="17" t="s">
        <v>927</v>
      </c>
      <c r="B171" s="20" t="s">
        <v>927</v>
      </c>
      <c r="C171" s="20" t="s">
        <v>927</v>
      </c>
      <c r="D171" s="20" t="s">
        <v>928</v>
      </c>
      <c r="E171" s="20" t="s">
        <v>928</v>
      </c>
      <c r="F171" s="20" t="s">
        <v>711</v>
      </c>
      <c r="G171" s="20"/>
      <c r="H171" s="20" t="s">
        <v>929</v>
      </c>
      <c r="I171" s="20"/>
      <c r="J171" s="20"/>
      <c r="K171" s="20" t="s">
        <v>745</v>
      </c>
      <c r="L171" s="20"/>
      <c r="M171" s="20" t="s">
        <v>716</v>
      </c>
      <c r="N171" s="21" t="s">
        <v>930</v>
      </c>
    </row>
    <row r="172" s="8" customFormat="1" customHeight="1" spans="1:14">
      <c r="A172" s="17" t="s">
        <v>931</v>
      </c>
      <c r="B172" s="18" t="s">
        <v>931</v>
      </c>
      <c r="C172" s="18" t="s">
        <v>931</v>
      </c>
      <c r="D172" s="18" t="s">
        <v>932</v>
      </c>
      <c r="E172" s="18" t="s">
        <v>932</v>
      </c>
      <c r="F172" s="18" t="s">
        <v>711</v>
      </c>
      <c r="G172" s="18"/>
      <c r="H172" s="18" t="s">
        <v>933</v>
      </c>
      <c r="I172" s="18"/>
      <c r="J172" s="18"/>
      <c r="K172" s="18" t="s">
        <v>934</v>
      </c>
      <c r="L172" s="18"/>
      <c r="M172" s="18" t="s">
        <v>716</v>
      </c>
      <c r="N172" s="19" t="s">
        <v>935</v>
      </c>
    </row>
    <row r="173" s="8" customFormat="1" customHeight="1" spans="1:14">
      <c r="A173" s="17" t="s">
        <v>936</v>
      </c>
      <c r="B173" s="20" t="s">
        <v>936</v>
      </c>
      <c r="C173" s="20" t="s">
        <v>936</v>
      </c>
      <c r="D173" s="20" t="s">
        <v>937</v>
      </c>
      <c r="E173" s="20" t="s">
        <v>937</v>
      </c>
      <c r="F173" s="20" t="s">
        <v>711</v>
      </c>
      <c r="G173" s="20"/>
      <c r="H173" s="20" t="s">
        <v>938</v>
      </c>
      <c r="I173" s="20"/>
      <c r="J173" s="20"/>
      <c r="K173" s="20" t="s">
        <v>939</v>
      </c>
      <c r="L173" s="20"/>
      <c r="M173" s="20" t="s">
        <v>716</v>
      </c>
      <c r="N173" s="21" t="s">
        <v>940</v>
      </c>
    </row>
    <row r="174" s="8" customFormat="1" customHeight="1" spans="1:14">
      <c r="A174" s="17" t="s">
        <v>941</v>
      </c>
      <c r="B174" s="18" t="s">
        <v>941</v>
      </c>
      <c r="C174" s="18" t="s">
        <v>941</v>
      </c>
      <c r="D174" s="18" t="s">
        <v>942</v>
      </c>
      <c r="E174" s="18" t="s">
        <v>942</v>
      </c>
      <c r="F174" s="18" t="s">
        <v>711</v>
      </c>
      <c r="G174" s="18"/>
      <c r="H174" s="18" t="s">
        <v>943</v>
      </c>
      <c r="I174" s="18"/>
      <c r="J174" s="18"/>
      <c r="K174" s="18" t="s">
        <v>944</v>
      </c>
      <c r="L174" s="18"/>
      <c r="M174" s="18" t="s">
        <v>716</v>
      </c>
      <c r="N174" s="19" t="s">
        <v>945</v>
      </c>
    </row>
    <row r="175" s="8" customFormat="1" customHeight="1" spans="1:14">
      <c r="A175" s="17" t="s">
        <v>946</v>
      </c>
      <c r="B175" s="20" t="s">
        <v>946</v>
      </c>
      <c r="C175" s="20" t="s">
        <v>946</v>
      </c>
      <c r="D175" s="20" t="s">
        <v>947</v>
      </c>
      <c r="E175" s="20" t="s">
        <v>947</v>
      </c>
      <c r="F175" s="20" t="s">
        <v>711</v>
      </c>
      <c r="G175" s="20"/>
      <c r="H175" s="20" t="s">
        <v>948</v>
      </c>
      <c r="I175" s="20"/>
      <c r="J175" s="20"/>
      <c r="K175" s="20" t="s">
        <v>761</v>
      </c>
      <c r="L175" s="20" t="s">
        <v>949</v>
      </c>
      <c r="M175" s="20" t="s">
        <v>716</v>
      </c>
      <c r="N175" s="21" t="s">
        <v>950</v>
      </c>
    </row>
    <row r="176" s="8" customFormat="1" customHeight="1" spans="1:14">
      <c r="A176" s="17" t="s">
        <v>951</v>
      </c>
      <c r="B176" s="18" t="s">
        <v>951</v>
      </c>
      <c r="C176" s="18" t="s">
        <v>951</v>
      </c>
      <c r="D176" s="18" t="s">
        <v>952</v>
      </c>
      <c r="E176" s="18" t="s">
        <v>952</v>
      </c>
      <c r="F176" s="18" t="s">
        <v>711</v>
      </c>
      <c r="G176" s="18"/>
      <c r="H176" s="18" t="s">
        <v>953</v>
      </c>
      <c r="I176" s="18" t="s">
        <v>954</v>
      </c>
      <c r="J176" s="18"/>
      <c r="K176" s="18" t="s">
        <v>955</v>
      </c>
      <c r="L176" s="18"/>
      <c r="M176" s="18" t="s">
        <v>716</v>
      </c>
      <c r="N176" s="19" t="s">
        <v>956</v>
      </c>
    </row>
    <row r="177" s="8" customFormat="1" customHeight="1" spans="1:14">
      <c r="A177" s="17" t="s">
        <v>957</v>
      </c>
      <c r="B177" s="20" t="s">
        <v>957</v>
      </c>
      <c r="C177" s="20" t="s">
        <v>957</v>
      </c>
      <c r="D177" s="20" t="s">
        <v>958</v>
      </c>
      <c r="E177" s="20" t="s">
        <v>958</v>
      </c>
      <c r="F177" s="20" t="s">
        <v>711</v>
      </c>
      <c r="G177" s="20"/>
      <c r="H177" s="20" t="s">
        <v>959</v>
      </c>
      <c r="I177" s="20" t="s">
        <v>960</v>
      </c>
      <c r="J177" s="20"/>
      <c r="K177" s="20" t="s">
        <v>961</v>
      </c>
      <c r="L177" s="20"/>
      <c r="M177" s="20" t="s">
        <v>716</v>
      </c>
      <c r="N177" s="21" t="s">
        <v>962</v>
      </c>
    </row>
    <row r="178" s="8" customFormat="1" customHeight="1" spans="1:14">
      <c r="A178" s="17" t="s">
        <v>963</v>
      </c>
      <c r="B178" s="18" t="s">
        <v>963</v>
      </c>
      <c r="C178" s="18" t="s">
        <v>963</v>
      </c>
      <c r="D178" s="18" t="s">
        <v>964</v>
      </c>
      <c r="E178" s="18" t="s">
        <v>109</v>
      </c>
      <c r="F178" s="18" t="s">
        <v>711</v>
      </c>
      <c r="G178" s="18"/>
      <c r="H178" s="18" t="s">
        <v>965</v>
      </c>
      <c r="I178" s="18" t="s">
        <v>966</v>
      </c>
      <c r="J178" s="18"/>
      <c r="K178" s="18" t="s">
        <v>812</v>
      </c>
      <c r="L178" s="18"/>
      <c r="M178" s="18" t="s">
        <v>716</v>
      </c>
      <c r="N178" s="19" t="s">
        <v>818</v>
      </c>
    </row>
    <row r="179" s="8" customFormat="1" customHeight="1" spans="1:14">
      <c r="A179" s="17" t="s">
        <v>967</v>
      </c>
      <c r="B179" s="20" t="s">
        <v>967</v>
      </c>
      <c r="C179" s="20" t="s">
        <v>967</v>
      </c>
      <c r="D179" s="20" t="s">
        <v>968</v>
      </c>
      <c r="E179" s="20" t="s">
        <v>109</v>
      </c>
      <c r="F179" s="20" t="s">
        <v>711</v>
      </c>
      <c r="G179" s="20"/>
      <c r="H179" s="20" t="s">
        <v>969</v>
      </c>
      <c r="I179" s="20" t="s">
        <v>966</v>
      </c>
      <c r="J179" s="20"/>
      <c r="K179" s="20" t="s">
        <v>812</v>
      </c>
      <c r="L179" s="20" t="s">
        <v>812</v>
      </c>
      <c r="M179" s="20" t="s">
        <v>716</v>
      </c>
      <c r="N179" s="21" t="s">
        <v>822</v>
      </c>
    </row>
    <row r="180" s="8" customFormat="1" customHeight="1" spans="1:14">
      <c r="A180" s="17" t="s">
        <v>970</v>
      </c>
      <c r="B180" s="18" t="s">
        <v>970</v>
      </c>
      <c r="C180" s="18" t="s">
        <v>970</v>
      </c>
      <c r="D180" s="18" t="s">
        <v>971</v>
      </c>
      <c r="E180" s="18" t="s">
        <v>109</v>
      </c>
      <c r="F180" s="18" t="s">
        <v>711</v>
      </c>
      <c r="G180" s="18"/>
      <c r="H180" s="18" t="s">
        <v>972</v>
      </c>
      <c r="I180" s="18" t="s">
        <v>973</v>
      </c>
      <c r="J180" s="18"/>
      <c r="K180" s="18" t="s">
        <v>974</v>
      </c>
      <c r="L180" s="18"/>
      <c r="M180" s="18" t="s">
        <v>716</v>
      </c>
      <c r="N180" s="19" t="s">
        <v>975</v>
      </c>
    </row>
    <row r="181" s="8" customFormat="1" customHeight="1" spans="1:14">
      <c r="A181" s="17" t="s">
        <v>976</v>
      </c>
      <c r="B181" s="20" t="s">
        <v>976</v>
      </c>
      <c r="C181" s="20" t="s">
        <v>976</v>
      </c>
      <c r="D181" s="20" t="s">
        <v>109</v>
      </c>
      <c r="E181" s="20" t="s">
        <v>109</v>
      </c>
      <c r="F181" s="20" t="s">
        <v>711</v>
      </c>
      <c r="G181" s="20"/>
      <c r="H181" s="20" t="s">
        <v>977</v>
      </c>
      <c r="I181" s="20" t="s">
        <v>978</v>
      </c>
      <c r="J181" s="20"/>
      <c r="K181" s="20" t="s">
        <v>979</v>
      </c>
      <c r="L181" s="20" t="s">
        <v>980</v>
      </c>
      <c r="M181" s="20" t="s">
        <v>716</v>
      </c>
      <c r="N181" s="21" t="s">
        <v>981</v>
      </c>
    </row>
    <row r="182" s="8" customFormat="1" customHeight="1" spans="1:14">
      <c r="A182" s="17" t="s">
        <v>982</v>
      </c>
      <c r="B182" s="18" t="s">
        <v>982</v>
      </c>
      <c r="C182" s="18" t="s">
        <v>982</v>
      </c>
      <c r="D182" s="18" t="s">
        <v>983</v>
      </c>
      <c r="E182" s="18" t="s">
        <v>984</v>
      </c>
      <c r="F182" s="18" t="s">
        <v>711</v>
      </c>
      <c r="G182" s="18"/>
      <c r="H182" s="18" t="s">
        <v>985</v>
      </c>
      <c r="I182" s="18" t="s">
        <v>986</v>
      </c>
      <c r="J182" s="18"/>
      <c r="K182" s="18" t="s">
        <v>806</v>
      </c>
      <c r="L182" s="18"/>
      <c r="M182" s="18" t="s">
        <v>716</v>
      </c>
      <c r="N182" s="19" t="s">
        <v>987</v>
      </c>
    </row>
    <row r="183" s="8" customFormat="1" ht="36" customHeight="1" spans="1:14">
      <c r="A183" s="14" t="s">
        <v>988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6"/>
    </row>
    <row r="184" s="9" customFormat="1" ht="16.5" spans="1:14">
      <c r="A184" s="22" t="s">
        <v>989</v>
      </c>
      <c r="B184" s="23" t="s">
        <v>989</v>
      </c>
      <c r="C184" s="23" t="s">
        <v>989</v>
      </c>
      <c r="D184" s="24" t="s">
        <v>702</v>
      </c>
      <c r="E184" s="24" t="s">
        <v>702</v>
      </c>
      <c r="F184" s="24">
        <v>888888</v>
      </c>
      <c r="G184" s="24">
        <v>888888</v>
      </c>
      <c r="H184" s="25" t="s">
        <v>990</v>
      </c>
      <c r="I184" s="24"/>
      <c r="J184" s="24"/>
      <c r="K184" s="25" t="s">
        <v>991</v>
      </c>
      <c r="L184" s="25" t="s">
        <v>992</v>
      </c>
      <c r="M184" s="24" t="s">
        <v>993</v>
      </c>
      <c r="N184" s="26" t="s">
        <v>994</v>
      </c>
    </row>
    <row r="185" s="9" customFormat="1" ht="16.5" spans="1:14">
      <c r="A185" s="22" t="s">
        <v>995</v>
      </c>
      <c r="B185" s="27" t="s">
        <v>995</v>
      </c>
      <c r="C185" s="27" t="s">
        <v>995</v>
      </c>
      <c r="D185" s="28" t="s">
        <v>702</v>
      </c>
      <c r="E185" s="28" t="s">
        <v>702</v>
      </c>
      <c r="F185" s="28">
        <v>888888</v>
      </c>
      <c r="G185" s="28">
        <v>888888</v>
      </c>
      <c r="H185" s="27" t="s">
        <v>996</v>
      </c>
      <c r="I185" s="28"/>
      <c r="J185" s="28"/>
      <c r="K185" s="27" t="s">
        <v>997</v>
      </c>
      <c r="L185" s="27" t="s">
        <v>998</v>
      </c>
      <c r="M185" s="28" t="s">
        <v>993</v>
      </c>
      <c r="N185" s="29" t="s">
        <v>999</v>
      </c>
    </row>
    <row r="186" s="9" customFormat="1" ht="16.5" spans="1:14">
      <c r="A186" s="22" t="s">
        <v>1000</v>
      </c>
      <c r="B186" s="25" t="s">
        <v>1000</v>
      </c>
      <c r="C186" s="25" t="s">
        <v>1000</v>
      </c>
      <c r="D186" s="24" t="s">
        <v>702</v>
      </c>
      <c r="E186" s="24" t="s">
        <v>702</v>
      </c>
      <c r="F186" s="24">
        <v>888888</v>
      </c>
      <c r="G186" s="24">
        <v>888888</v>
      </c>
      <c r="H186" s="25" t="s">
        <v>1001</v>
      </c>
      <c r="I186" s="24"/>
      <c r="J186" s="24"/>
      <c r="K186" s="25" t="s">
        <v>1002</v>
      </c>
      <c r="L186" s="25" t="s">
        <v>998</v>
      </c>
      <c r="M186" s="24" t="s">
        <v>993</v>
      </c>
      <c r="N186" s="26" t="s">
        <v>1003</v>
      </c>
    </row>
    <row r="187" s="9" customFormat="1" ht="16.5" spans="1:14">
      <c r="A187" s="22" t="s">
        <v>1004</v>
      </c>
      <c r="B187" s="27" t="s">
        <v>1004</v>
      </c>
      <c r="C187" s="27" t="s">
        <v>1004</v>
      </c>
      <c r="D187" s="28" t="s">
        <v>702</v>
      </c>
      <c r="E187" s="28" t="s">
        <v>702</v>
      </c>
      <c r="F187" s="28">
        <v>888888</v>
      </c>
      <c r="G187" s="28">
        <v>888888</v>
      </c>
      <c r="H187" s="27" t="s">
        <v>1005</v>
      </c>
      <c r="I187" s="27"/>
      <c r="J187" s="27"/>
      <c r="K187" s="27" t="s">
        <v>1006</v>
      </c>
      <c r="L187" s="27" t="s">
        <v>998</v>
      </c>
      <c r="M187" s="28" t="s">
        <v>993</v>
      </c>
      <c r="N187" s="29" t="s">
        <v>1007</v>
      </c>
    </row>
    <row r="188" s="9" customFormat="1" ht="16.5" spans="1:14">
      <c r="A188" s="22" t="s">
        <v>1008</v>
      </c>
      <c r="B188" s="25" t="s">
        <v>1008</v>
      </c>
      <c r="C188" s="25" t="s">
        <v>1008</v>
      </c>
      <c r="D188" s="24" t="s">
        <v>702</v>
      </c>
      <c r="E188" s="24" t="s">
        <v>702</v>
      </c>
      <c r="F188" s="24">
        <v>888888</v>
      </c>
      <c r="G188" s="24">
        <v>888888</v>
      </c>
      <c r="H188" s="25" t="s">
        <v>1009</v>
      </c>
      <c r="I188" s="25"/>
      <c r="J188" s="25"/>
      <c r="K188" s="25" t="s">
        <v>1006</v>
      </c>
      <c r="L188" s="25" t="s">
        <v>998</v>
      </c>
      <c r="M188" s="24" t="s">
        <v>993</v>
      </c>
      <c r="N188" s="30" t="s">
        <v>1010</v>
      </c>
    </row>
    <row r="189" s="9" customFormat="1" ht="16.5" spans="1:14">
      <c r="A189" s="22" t="s">
        <v>1011</v>
      </c>
      <c r="B189" s="27" t="s">
        <v>1011</v>
      </c>
      <c r="C189" s="27" t="s">
        <v>1011</v>
      </c>
      <c r="D189" s="28" t="s">
        <v>702</v>
      </c>
      <c r="E189" s="28" t="s">
        <v>702</v>
      </c>
      <c r="F189" s="28">
        <v>888888</v>
      </c>
      <c r="G189" s="28">
        <v>888888</v>
      </c>
      <c r="H189" s="27" t="s">
        <v>1009</v>
      </c>
      <c r="I189" s="27"/>
      <c r="J189" s="27"/>
      <c r="K189" s="27" t="s">
        <v>1006</v>
      </c>
      <c r="L189" s="27" t="s">
        <v>998</v>
      </c>
      <c r="M189" s="28" t="s">
        <v>993</v>
      </c>
      <c r="N189" s="29" t="s">
        <v>1012</v>
      </c>
    </row>
    <row r="190" s="9" customFormat="1" ht="16.5" spans="1:14">
      <c r="A190" s="22" t="s">
        <v>1013</v>
      </c>
      <c r="B190" s="25" t="s">
        <v>1013</v>
      </c>
      <c r="C190" s="25" t="s">
        <v>1013</v>
      </c>
      <c r="D190" s="24" t="s">
        <v>702</v>
      </c>
      <c r="E190" s="24" t="s">
        <v>702</v>
      </c>
      <c r="F190" s="24">
        <v>888888</v>
      </c>
      <c r="G190" s="24">
        <v>888888</v>
      </c>
      <c r="H190" s="25" t="s">
        <v>1014</v>
      </c>
      <c r="I190" s="25"/>
      <c r="J190" s="25"/>
      <c r="K190" s="25" t="s">
        <v>1015</v>
      </c>
      <c r="L190" s="25" t="s">
        <v>1016</v>
      </c>
      <c r="M190" s="24" t="s">
        <v>993</v>
      </c>
      <c r="N190" s="26" t="s">
        <v>1017</v>
      </c>
    </row>
    <row r="191" s="9" customFormat="1" ht="16.5" spans="1:14">
      <c r="A191" s="22" t="s">
        <v>1018</v>
      </c>
      <c r="B191" s="27" t="s">
        <v>1018</v>
      </c>
      <c r="C191" s="27" t="s">
        <v>1018</v>
      </c>
      <c r="D191" s="28" t="s">
        <v>702</v>
      </c>
      <c r="E191" s="28" t="s">
        <v>702</v>
      </c>
      <c r="F191" s="28">
        <v>888888</v>
      </c>
      <c r="G191" s="28">
        <v>888888</v>
      </c>
      <c r="H191" s="27" t="s">
        <v>990</v>
      </c>
      <c r="I191" s="27"/>
      <c r="J191" s="27"/>
      <c r="K191" s="27" t="s">
        <v>1019</v>
      </c>
      <c r="L191" s="27" t="s">
        <v>1016</v>
      </c>
      <c r="M191" s="28" t="s">
        <v>993</v>
      </c>
      <c r="N191" s="29" t="s">
        <v>994</v>
      </c>
    </row>
    <row r="192" s="9" customFormat="1" ht="16.5" spans="1:14">
      <c r="A192" s="22" t="s">
        <v>1020</v>
      </c>
      <c r="B192" s="25" t="s">
        <v>1020</v>
      </c>
      <c r="C192" s="25" t="s">
        <v>1020</v>
      </c>
      <c r="D192" s="24" t="s">
        <v>702</v>
      </c>
      <c r="E192" s="24" t="s">
        <v>702</v>
      </c>
      <c r="F192" s="24">
        <v>888888</v>
      </c>
      <c r="G192" s="24">
        <v>888888</v>
      </c>
      <c r="H192" s="25" t="s">
        <v>1021</v>
      </c>
      <c r="I192" s="25"/>
      <c r="J192" s="25"/>
      <c r="K192" s="25" t="s">
        <v>1022</v>
      </c>
      <c r="L192" s="25" t="s">
        <v>1016</v>
      </c>
      <c r="M192" s="24" t="s">
        <v>993</v>
      </c>
      <c r="N192" s="26" t="s">
        <v>1023</v>
      </c>
    </row>
    <row r="193" s="9" customFormat="1" ht="16.5" spans="1:14">
      <c r="A193" s="22" t="s">
        <v>1024</v>
      </c>
      <c r="B193" s="27" t="s">
        <v>1024</v>
      </c>
      <c r="C193" s="27" t="s">
        <v>1024</v>
      </c>
      <c r="D193" s="28" t="s">
        <v>702</v>
      </c>
      <c r="E193" s="28" t="s">
        <v>702</v>
      </c>
      <c r="F193" s="28">
        <v>888888</v>
      </c>
      <c r="G193" s="28">
        <v>888888</v>
      </c>
      <c r="H193" s="27" t="s">
        <v>1025</v>
      </c>
      <c r="I193" s="27"/>
      <c r="J193" s="27"/>
      <c r="K193" s="27" t="s">
        <v>1026</v>
      </c>
      <c r="L193" s="27" t="s">
        <v>1027</v>
      </c>
      <c r="M193" s="28" t="s">
        <v>993</v>
      </c>
      <c r="N193" s="29" t="s">
        <v>1028</v>
      </c>
    </row>
    <row r="194" s="9" customFormat="1" ht="16.5" spans="1:14">
      <c r="A194" s="22" t="s">
        <v>1029</v>
      </c>
      <c r="B194" s="25" t="s">
        <v>1029</v>
      </c>
      <c r="C194" s="25" t="s">
        <v>1029</v>
      </c>
      <c r="D194" s="24" t="s">
        <v>702</v>
      </c>
      <c r="E194" s="24" t="s">
        <v>702</v>
      </c>
      <c r="F194" s="24">
        <v>888888</v>
      </c>
      <c r="G194" s="24">
        <v>888888</v>
      </c>
      <c r="H194" s="25" t="s">
        <v>1030</v>
      </c>
      <c r="I194" s="25"/>
      <c r="J194" s="25"/>
      <c r="K194" s="25" t="s">
        <v>1031</v>
      </c>
      <c r="L194" s="25" t="s">
        <v>998</v>
      </c>
      <c r="M194" s="24" t="s">
        <v>993</v>
      </c>
      <c r="N194" s="26" t="s">
        <v>1032</v>
      </c>
    </row>
    <row r="195" s="9" customFormat="1" ht="16.5" spans="1:14">
      <c r="A195" s="22" t="s">
        <v>1033</v>
      </c>
      <c r="B195" s="27" t="s">
        <v>1033</v>
      </c>
      <c r="C195" s="27" t="s">
        <v>1033</v>
      </c>
      <c r="D195" s="28" t="s">
        <v>702</v>
      </c>
      <c r="E195" s="28" t="s">
        <v>702</v>
      </c>
      <c r="F195" s="28">
        <v>888888</v>
      </c>
      <c r="G195" s="28">
        <v>888888</v>
      </c>
      <c r="H195" s="27" t="s">
        <v>1034</v>
      </c>
      <c r="I195" s="27"/>
      <c r="J195" s="27"/>
      <c r="K195" s="27" t="s">
        <v>1035</v>
      </c>
      <c r="L195" s="27" t="s">
        <v>998</v>
      </c>
      <c r="M195" s="28" t="s">
        <v>993</v>
      </c>
      <c r="N195" s="29" t="s">
        <v>1036</v>
      </c>
    </row>
    <row r="196" s="9" customFormat="1" ht="16.5" spans="1:14">
      <c r="A196" s="22" t="s">
        <v>1037</v>
      </c>
      <c r="B196" s="25" t="s">
        <v>1037</v>
      </c>
      <c r="C196" s="25" t="s">
        <v>1037</v>
      </c>
      <c r="D196" s="24" t="s">
        <v>702</v>
      </c>
      <c r="E196" s="24" t="s">
        <v>702</v>
      </c>
      <c r="F196" s="24">
        <v>888888</v>
      </c>
      <c r="G196" s="24">
        <v>888888</v>
      </c>
      <c r="H196" s="25" t="s">
        <v>1038</v>
      </c>
      <c r="I196" s="25"/>
      <c r="J196" s="25"/>
      <c r="K196" s="25" t="s">
        <v>1039</v>
      </c>
      <c r="L196" s="25" t="s">
        <v>998</v>
      </c>
      <c r="M196" s="24" t="s">
        <v>993</v>
      </c>
      <c r="N196" s="26" t="s">
        <v>1040</v>
      </c>
    </row>
    <row r="197" s="9" customFormat="1" ht="16.5" spans="1:14">
      <c r="A197" s="22" t="s">
        <v>1041</v>
      </c>
      <c r="B197" s="27" t="s">
        <v>1041</v>
      </c>
      <c r="C197" s="27" t="s">
        <v>1041</v>
      </c>
      <c r="D197" s="28" t="s">
        <v>702</v>
      </c>
      <c r="E197" s="28" t="s">
        <v>702</v>
      </c>
      <c r="F197" s="28">
        <v>888888</v>
      </c>
      <c r="G197" s="28">
        <v>888888</v>
      </c>
      <c r="H197" s="27" t="s">
        <v>1042</v>
      </c>
      <c r="I197" s="27"/>
      <c r="J197" s="27"/>
      <c r="K197" s="27" t="s">
        <v>1043</v>
      </c>
      <c r="L197" s="27" t="s">
        <v>1027</v>
      </c>
      <c r="M197" s="28" t="s">
        <v>993</v>
      </c>
      <c r="N197" s="29" t="s">
        <v>1044</v>
      </c>
    </row>
    <row r="198" s="9" customFormat="1" ht="16.5" spans="1:14">
      <c r="A198" s="22" t="s">
        <v>1045</v>
      </c>
      <c r="B198" s="25" t="s">
        <v>1045</v>
      </c>
      <c r="C198" s="25" t="s">
        <v>1045</v>
      </c>
      <c r="D198" s="24" t="s">
        <v>702</v>
      </c>
      <c r="E198" s="24" t="s">
        <v>702</v>
      </c>
      <c r="F198" s="24">
        <v>888888</v>
      </c>
      <c r="G198" s="24">
        <v>888888</v>
      </c>
      <c r="H198" s="25" t="s">
        <v>1046</v>
      </c>
      <c r="I198" s="25"/>
      <c r="J198" s="25"/>
      <c r="K198" s="25" t="s">
        <v>1047</v>
      </c>
      <c r="L198" s="25" t="s">
        <v>1016</v>
      </c>
      <c r="M198" s="24" t="s">
        <v>993</v>
      </c>
      <c r="N198" s="26" t="s">
        <v>1048</v>
      </c>
    </row>
    <row r="199" s="9" customFormat="1" ht="16.5" spans="1:14">
      <c r="A199" s="22" t="s">
        <v>1049</v>
      </c>
      <c r="B199" s="27" t="s">
        <v>1049</v>
      </c>
      <c r="C199" s="27" t="s">
        <v>1049</v>
      </c>
      <c r="D199" s="28" t="s">
        <v>702</v>
      </c>
      <c r="E199" s="28" t="s">
        <v>702</v>
      </c>
      <c r="F199" s="28">
        <v>888888</v>
      </c>
      <c r="G199" s="28">
        <v>888888</v>
      </c>
      <c r="H199" s="27" t="s">
        <v>1050</v>
      </c>
      <c r="I199" s="27"/>
      <c r="J199" s="27"/>
      <c r="K199" s="27" t="s">
        <v>1051</v>
      </c>
      <c r="L199" s="27" t="s">
        <v>998</v>
      </c>
      <c r="M199" s="28" t="s">
        <v>993</v>
      </c>
      <c r="N199" s="29" t="s">
        <v>1052</v>
      </c>
    </row>
    <row r="200" s="9" customFormat="1" ht="16.5" spans="1:14">
      <c r="A200" s="22" t="s">
        <v>1053</v>
      </c>
      <c r="B200" s="25" t="s">
        <v>1053</v>
      </c>
      <c r="C200" s="25" t="s">
        <v>1053</v>
      </c>
      <c r="D200" s="24" t="s">
        <v>702</v>
      </c>
      <c r="E200" s="24" t="s">
        <v>702</v>
      </c>
      <c r="F200" s="24">
        <v>888888</v>
      </c>
      <c r="G200" s="24">
        <v>888888</v>
      </c>
      <c r="H200" s="25" t="s">
        <v>1054</v>
      </c>
      <c r="I200" s="25"/>
      <c r="J200" s="25"/>
      <c r="K200" s="25" t="s">
        <v>1055</v>
      </c>
      <c r="L200" s="25" t="s">
        <v>998</v>
      </c>
      <c r="M200" s="24" t="s">
        <v>993</v>
      </c>
      <c r="N200" s="26" t="s">
        <v>1056</v>
      </c>
    </row>
    <row r="201" s="9" customFormat="1" ht="16.5" spans="1:14">
      <c r="A201" s="22" t="s">
        <v>1057</v>
      </c>
      <c r="B201" s="27" t="s">
        <v>1057</v>
      </c>
      <c r="C201" s="27" t="s">
        <v>1057</v>
      </c>
      <c r="D201" s="28" t="s">
        <v>702</v>
      </c>
      <c r="E201" s="28" t="s">
        <v>702</v>
      </c>
      <c r="F201" s="28">
        <v>888888</v>
      </c>
      <c r="G201" s="28">
        <v>888888</v>
      </c>
      <c r="H201" s="27" t="s">
        <v>1058</v>
      </c>
      <c r="I201" s="27"/>
      <c r="J201" s="27"/>
      <c r="K201" s="27" t="s">
        <v>1059</v>
      </c>
      <c r="L201" s="27" t="s">
        <v>998</v>
      </c>
      <c r="M201" s="28" t="s">
        <v>993</v>
      </c>
      <c r="N201" s="29" t="s">
        <v>1060</v>
      </c>
    </row>
    <row r="202" s="9" customFormat="1" ht="17.25" spans="1:14">
      <c r="A202" s="22" t="s">
        <v>1061</v>
      </c>
      <c r="B202" s="25" t="s">
        <v>1061</v>
      </c>
      <c r="C202" s="25" t="s">
        <v>1061</v>
      </c>
      <c r="D202" s="24" t="s">
        <v>702</v>
      </c>
      <c r="E202" s="24" t="s">
        <v>702</v>
      </c>
      <c r="F202" s="24">
        <v>888888</v>
      </c>
      <c r="G202" s="24">
        <v>888888</v>
      </c>
      <c r="H202" s="25" t="s">
        <v>1062</v>
      </c>
      <c r="I202" s="25"/>
      <c r="J202" s="25"/>
      <c r="K202" s="25" t="s">
        <v>1063</v>
      </c>
      <c r="L202" s="25" t="s">
        <v>1027</v>
      </c>
      <c r="M202" s="24" t="s">
        <v>993</v>
      </c>
      <c r="N202" s="31" t="s">
        <v>1064</v>
      </c>
    </row>
    <row r="203" s="9" customFormat="1" ht="17.25" spans="1:14">
      <c r="A203" s="22" t="s">
        <v>1065</v>
      </c>
      <c r="B203" s="27" t="s">
        <v>1065</v>
      </c>
      <c r="C203" s="27" t="s">
        <v>1065</v>
      </c>
      <c r="D203" s="28" t="s">
        <v>702</v>
      </c>
      <c r="E203" s="28" t="s">
        <v>702</v>
      </c>
      <c r="F203" s="28">
        <v>888888</v>
      </c>
      <c r="G203" s="28">
        <v>888888</v>
      </c>
      <c r="H203" s="27" t="s">
        <v>1066</v>
      </c>
      <c r="I203" s="27"/>
      <c r="J203" s="27"/>
      <c r="K203" s="27" t="s">
        <v>1067</v>
      </c>
      <c r="L203" s="27" t="s">
        <v>998</v>
      </c>
      <c r="M203" s="28" t="s">
        <v>993</v>
      </c>
      <c r="N203" s="32" t="s">
        <v>1068</v>
      </c>
    </row>
    <row r="204" s="9" customFormat="1" ht="17.25" spans="1:14">
      <c r="A204" s="22" t="s">
        <v>1069</v>
      </c>
      <c r="B204" s="25" t="s">
        <v>1069</v>
      </c>
      <c r="C204" s="25" t="s">
        <v>1069</v>
      </c>
      <c r="D204" s="24" t="s">
        <v>702</v>
      </c>
      <c r="E204" s="24" t="s">
        <v>702</v>
      </c>
      <c r="F204" s="24">
        <v>888888</v>
      </c>
      <c r="G204" s="24">
        <v>888888</v>
      </c>
      <c r="H204" s="25" t="s">
        <v>1070</v>
      </c>
      <c r="I204" s="25"/>
      <c r="J204" s="25"/>
      <c r="K204" s="25" t="s">
        <v>1071</v>
      </c>
      <c r="L204" s="25" t="s">
        <v>1027</v>
      </c>
      <c r="M204" s="24" t="s">
        <v>993</v>
      </c>
      <c r="N204" s="31" t="s">
        <v>1072</v>
      </c>
    </row>
    <row r="205" s="8" customFormat="1" ht="37" customHeight="1" spans="1:14">
      <c r="A205" s="14" t="s">
        <v>1073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6"/>
    </row>
    <row r="206" s="9" customFormat="1" ht="16.5" spans="1:14">
      <c r="A206" s="33" t="s">
        <v>1074</v>
      </c>
      <c r="B206" s="24" t="s">
        <v>1074</v>
      </c>
      <c r="C206" s="24" t="s">
        <v>1074</v>
      </c>
      <c r="D206" s="24" t="s">
        <v>702</v>
      </c>
      <c r="E206" s="24" t="s">
        <v>702</v>
      </c>
      <c r="F206" s="24">
        <v>888888</v>
      </c>
      <c r="G206" s="24">
        <v>888888</v>
      </c>
      <c r="H206" s="24" t="s">
        <v>1075</v>
      </c>
      <c r="I206" s="24"/>
      <c r="J206" s="24"/>
      <c r="K206" s="24" t="s">
        <v>1076</v>
      </c>
      <c r="L206" s="24" t="s">
        <v>993</v>
      </c>
      <c r="M206" s="24" t="s">
        <v>1077</v>
      </c>
      <c r="N206" s="34" t="s">
        <v>1078</v>
      </c>
    </row>
    <row r="207" s="9" customFormat="1" ht="16.5" spans="1:14">
      <c r="A207" s="33" t="s">
        <v>1079</v>
      </c>
      <c r="B207" s="28" t="s">
        <v>1079</v>
      </c>
      <c r="C207" s="28" t="s">
        <v>1079</v>
      </c>
      <c r="D207" s="28" t="s">
        <v>702</v>
      </c>
      <c r="E207" s="28" t="s">
        <v>702</v>
      </c>
      <c r="F207" s="28">
        <v>888888</v>
      </c>
      <c r="G207" s="28">
        <v>888888</v>
      </c>
      <c r="H207" s="28" t="s">
        <v>1080</v>
      </c>
      <c r="I207" s="28"/>
      <c r="J207" s="28"/>
      <c r="K207" s="28" t="s">
        <v>1081</v>
      </c>
      <c r="L207" s="28" t="s">
        <v>1082</v>
      </c>
      <c r="M207" s="28" t="s">
        <v>1077</v>
      </c>
      <c r="N207" s="35" t="s">
        <v>1083</v>
      </c>
    </row>
    <row r="208" s="9" customFormat="1" ht="16.5" spans="1:14">
      <c r="A208" s="33" t="s">
        <v>1084</v>
      </c>
      <c r="B208" s="24" t="s">
        <v>1084</v>
      </c>
      <c r="C208" s="24" t="s">
        <v>1084</v>
      </c>
      <c r="D208" s="24" t="s">
        <v>702</v>
      </c>
      <c r="E208" s="24" t="s">
        <v>702</v>
      </c>
      <c r="F208" s="24">
        <v>888888</v>
      </c>
      <c r="G208" s="24">
        <v>888888</v>
      </c>
      <c r="H208" s="24" t="s">
        <v>1085</v>
      </c>
      <c r="I208" s="24"/>
      <c r="J208" s="24"/>
      <c r="K208" s="24" t="s">
        <v>1086</v>
      </c>
      <c r="L208" s="24" t="s">
        <v>1087</v>
      </c>
      <c r="M208" s="24" t="s">
        <v>1077</v>
      </c>
      <c r="N208" s="34" t="s">
        <v>1088</v>
      </c>
    </row>
    <row r="209" s="9" customFormat="1" ht="16.5" spans="1:14">
      <c r="A209" s="33" t="s">
        <v>1089</v>
      </c>
      <c r="B209" s="28" t="s">
        <v>1089</v>
      </c>
      <c r="C209" s="28" t="s">
        <v>1089</v>
      </c>
      <c r="D209" s="28" t="s">
        <v>702</v>
      </c>
      <c r="E209" s="28" t="s">
        <v>702</v>
      </c>
      <c r="F209" s="28">
        <v>888888</v>
      </c>
      <c r="G209" s="28">
        <v>888888</v>
      </c>
      <c r="H209" s="28" t="s">
        <v>1090</v>
      </c>
      <c r="I209" s="28"/>
      <c r="J209" s="28"/>
      <c r="K209" s="28" t="s">
        <v>1091</v>
      </c>
      <c r="L209" s="28" t="s">
        <v>1092</v>
      </c>
      <c r="M209" s="28" t="s">
        <v>1077</v>
      </c>
      <c r="N209" s="35" t="s">
        <v>1093</v>
      </c>
    </row>
    <row r="210" s="9" customFormat="1" ht="16.5" spans="1:14">
      <c r="A210" s="33" t="s">
        <v>1094</v>
      </c>
      <c r="B210" s="24" t="s">
        <v>1094</v>
      </c>
      <c r="C210" s="24" t="s">
        <v>1094</v>
      </c>
      <c r="D210" s="24" t="s">
        <v>702</v>
      </c>
      <c r="E210" s="24" t="s">
        <v>702</v>
      </c>
      <c r="F210" s="24">
        <v>888888</v>
      </c>
      <c r="G210" s="24">
        <v>888888</v>
      </c>
      <c r="H210" s="24" t="s">
        <v>1095</v>
      </c>
      <c r="I210" s="24"/>
      <c r="J210" s="24"/>
      <c r="K210" s="24" t="s">
        <v>1096</v>
      </c>
      <c r="L210" s="24" t="s">
        <v>1097</v>
      </c>
      <c r="M210" s="24" t="s">
        <v>1077</v>
      </c>
      <c r="N210" s="34" t="s">
        <v>1098</v>
      </c>
    </row>
    <row r="211" s="9" customFormat="1" ht="16.5" spans="1:14">
      <c r="A211" s="33" t="s">
        <v>1099</v>
      </c>
      <c r="B211" s="28" t="s">
        <v>1099</v>
      </c>
      <c r="C211" s="28" t="s">
        <v>1099</v>
      </c>
      <c r="D211" s="28" t="s">
        <v>702</v>
      </c>
      <c r="E211" s="28" t="s">
        <v>702</v>
      </c>
      <c r="F211" s="28">
        <v>888888</v>
      </c>
      <c r="G211" s="28">
        <v>888888</v>
      </c>
      <c r="H211" s="28" t="s">
        <v>1100</v>
      </c>
      <c r="I211" s="28"/>
      <c r="J211" s="28"/>
      <c r="K211" s="28" t="s">
        <v>1101</v>
      </c>
      <c r="L211" s="28" t="s">
        <v>1102</v>
      </c>
      <c r="M211" s="28" t="s">
        <v>1077</v>
      </c>
      <c r="N211" s="35" t="s">
        <v>1103</v>
      </c>
    </row>
    <row r="212" s="9" customFormat="1" ht="16.5" spans="1:14">
      <c r="A212" s="33" t="s">
        <v>1104</v>
      </c>
      <c r="B212" s="24" t="s">
        <v>1104</v>
      </c>
      <c r="C212" s="24" t="s">
        <v>1104</v>
      </c>
      <c r="D212" s="24" t="s">
        <v>702</v>
      </c>
      <c r="E212" s="24" t="s">
        <v>702</v>
      </c>
      <c r="F212" s="24">
        <v>888888</v>
      </c>
      <c r="G212" s="24">
        <v>888888</v>
      </c>
      <c r="H212" s="24" t="s">
        <v>1105</v>
      </c>
      <c r="I212" s="24"/>
      <c r="J212" s="24"/>
      <c r="K212" s="24" t="s">
        <v>1106</v>
      </c>
      <c r="L212" s="24" t="s">
        <v>1107</v>
      </c>
      <c r="M212" s="24" t="s">
        <v>1077</v>
      </c>
      <c r="N212" s="34" t="s">
        <v>1108</v>
      </c>
    </row>
    <row r="213" s="9" customFormat="1" ht="16.5" spans="1:14">
      <c r="A213" s="33" t="s">
        <v>1109</v>
      </c>
      <c r="B213" s="28" t="s">
        <v>1109</v>
      </c>
      <c r="C213" s="28" t="s">
        <v>1109</v>
      </c>
      <c r="D213" s="28" t="s">
        <v>702</v>
      </c>
      <c r="E213" s="28" t="s">
        <v>702</v>
      </c>
      <c r="F213" s="28">
        <v>888888</v>
      </c>
      <c r="G213" s="28">
        <v>888888</v>
      </c>
      <c r="H213" s="28" t="s">
        <v>1110</v>
      </c>
      <c r="I213" s="28"/>
      <c r="J213" s="28"/>
      <c r="K213" s="28" t="s">
        <v>1111</v>
      </c>
      <c r="L213" s="28" t="s">
        <v>1112</v>
      </c>
      <c r="M213" s="28" t="s">
        <v>1077</v>
      </c>
      <c r="N213" s="35" t="s">
        <v>1113</v>
      </c>
    </row>
    <row r="214" s="9" customFormat="1" ht="16.5" spans="1:14">
      <c r="A214" s="33" t="s">
        <v>1114</v>
      </c>
      <c r="B214" s="24" t="s">
        <v>1114</v>
      </c>
      <c r="C214" s="24" t="s">
        <v>1114</v>
      </c>
      <c r="D214" s="24" t="s">
        <v>702</v>
      </c>
      <c r="E214" s="24" t="s">
        <v>702</v>
      </c>
      <c r="F214" s="24">
        <v>888888</v>
      </c>
      <c r="G214" s="24">
        <v>888888</v>
      </c>
      <c r="H214" s="24" t="s">
        <v>1115</v>
      </c>
      <c r="I214" s="24"/>
      <c r="J214" s="24"/>
      <c r="K214" s="24" t="s">
        <v>1116</v>
      </c>
      <c r="L214" s="24" t="s">
        <v>1117</v>
      </c>
      <c r="M214" s="24" t="s">
        <v>1077</v>
      </c>
      <c r="N214" s="34" t="s">
        <v>1118</v>
      </c>
    </row>
    <row r="215" s="9" customFormat="1" ht="16.5" spans="1:14">
      <c r="A215" s="33" t="s">
        <v>1119</v>
      </c>
      <c r="B215" s="28" t="s">
        <v>1119</v>
      </c>
      <c r="C215" s="28" t="s">
        <v>1119</v>
      </c>
      <c r="D215" s="28" t="s">
        <v>702</v>
      </c>
      <c r="E215" s="28" t="s">
        <v>702</v>
      </c>
      <c r="F215" s="28">
        <v>888888</v>
      </c>
      <c r="G215" s="28">
        <v>888888</v>
      </c>
      <c r="H215" s="28" t="s">
        <v>1120</v>
      </c>
      <c r="I215" s="28"/>
      <c r="J215" s="28"/>
      <c r="K215" s="28" t="s">
        <v>1121</v>
      </c>
      <c r="L215" s="28" t="s">
        <v>1122</v>
      </c>
      <c r="M215" s="28" t="s">
        <v>1077</v>
      </c>
      <c r="N215" s="35" t="s">
        <v>1123</v>
      </c>
    </row>
    <row r="216" s="9" customFormat="1" ht="16.5" spans="1:14">
      <c r="A216" s="33" t="s">
        <v>1124</v>
      </c>
      <c r="B216" s="24" t="s">
        <v>1124</v>
      </c>
      <c r="C216" s="24" t="s">
        <v>1124</v>
      </c>
      <c r="D216" s="24" t="s">
        <v>702</v>
      </c>
      <c r="E216" s="24" t="s">
        <v>702</v>
      </c>
      <c r="F216" s="24">
        <v>888888</v>
      </c>
      <c r="G216" s="24">
        <v>888888</v>
      </c>
      <c r="H216" s="24" t="s">
        <v>1125</v>
      </c>
      <c r="I216" s="24"/>
      <c r="J216" s="24"/>
      <c r="K216" s="24" t="s">
        <v>1126</v>
      </c>
      <c r="L216" s="24" t="s">
        <v>1097</v>
      </c>
      <c r="M216" s="24" t="s">
        <v>1077</v>
      </c>
      <c r="N216" s="34" t="s">
        <v>1127</v>
      </c>
    </row>
    <row r="217" s="9" customFormat="1" ht="16.5" spans="1:14">
      <c r="A217" s="33" t="s">
        <v>1128</v>
      </c>
      <c r="B217" s="28" t="s">
        <v>1128</v>
      </c>
      <c r="C217" s="28" t="s">
        <v>1128</v>
      </c>
      <c r="D217" s="28" t="s">
        <v>702</v>
      </c>
      <c r="E217" s="28" t="s">
        <v>702</v>
      </c>
      <c r="F217" s="28">
        <v>888888</v>
      </c>
      <c r="G217" s="28">
        <v>888888</v>
      </c>
      <c r="H217" s="28" t="s">
        <v>1129</v>
      </c>
      <c r="I217" s="28"/>
      <c r="J217" s="28"/>
      <c r="K217" s="28" t="s">
        <v>1130</v>
      </c>
      <c r="L217" s="28" t="s">
        <v>1131</v>
      </c>
      <c r="M217" s="28" t="s">
        <v>1077</v>
      </c>
      <c r="N217" s="35" t="s">
        <v>1132</v>
      </c>
    </row>
    <row r="218" s="9" customFormat="1" ht="16.5" spans="1:14">
      <c r="A218" s="33" t="s">
        <v>1133</v>
      </c>
      <c r="B218" s="24" t="s">
        <v>1133</v>
      </c>
      <c r="C218" s="24" t="s">
        <v>1133</v>
      </c>
      <c r="D218" s="24" t="s">
        <v>702</v>
      </c>
      <c r="E218" s="24" t="s">
        <v>702</v>
      </c>
      <c r="F218" s="24">
        <v>888888</v>
      </c>
      <c r="G218" s="24">
        <v>888888</v>
      </c>
      <c r="H218" s="24" t="s">
        <v>1134</v>
      </c>
      <c r="I218" s="24"/>
      <c r="J218" s="24"/>
      <c r="K218" s="24" t="s">
        <v>1135</v>
      </c>
      <c r="L218" s="24" t="s">
        <v>1131</v>
      </c>
      <c r="M218" s="24" t="s">
        <v>1077</v>
      </c>
      <c r="N218" s="34" t="s">
        <v>1136</v>
      </c>
    </row>
    <row r="219" s="9" customFormat="1" ht="16.5" spans="1:14">
      <c r="A219" s="33" t="s">
        <v>1137</v>
      </c>
      <c r="B219" s="28" t="s">
        <v>1137</v>
      </c>
      <c r="C219" s="28" t="s">
        <v>1137</v>
      </c>
      <c r="D219" s="28" t="s">
        <v>702</v>
      </c>
      <c r="E219" s="28" t="s">
        <v>702</v>
      </c>
      <c r="F219" s="28">
        <v>888888</v>
      </c>
      <c r="G219" s="28">
        <v>888888</v>
      </c>
      <c r="H219" s="28" t="s">
        <v>1138</v>
      </c>
      <c r="I219" s="28"/>
      <c r="J219" s="28"/>
      <c r="K219" s="28" t="s">
        <v>1139</v>
      </c>
      <c r="L219" s="28" t="s">
        <v>1140</v>
      </c>
      <c r="M219" s="28" t="s">
        <v>1077</v>
      </c>
      <c r="N219" s="35" t="s">
        <v>1141</v>
      </c>
    </row>
    <row r="220" s="9" customFormat="1" ht="16.5" spans="1:14">
      <c r="A220" s="33" t="s">
        <v>1142</v>
      </c>
      <c r="B220" s="24" t="s">
        <v>1142</v>
      </c>
      <c r="C220" s="24" t="s">
        <v>1142</v>
      </c>
      <c r="D220" s="24" t="s">
        <v>702</v>
      </c>
      <c r="E220" s="24" t="s">
        <v>702</v>
      </c>
      <c r="F220" s="24">
        <v>888888</v>
      </c>
      <c r="G220" s="24">
        <v>888888</v>
      </c>
      <c r="H220" s="24" t="s">
        <v>1143</v>
      </c>
      <c r="I220" s="24"/>
      <c r="J220" s="24"/>
      <c r="K220" s="24" t="s">
        <v>1144</v>
      </c>
      <c r="L220" s="24" t="s">
        <v>1145</v>
      </c>
      <c r="M220" s="24" t="s">
        <v>1077</v>
      </c>
      <c r="N220" s="34" t="s">
        <v>1146</v>
      </c>
    </row>
    <row r="221" s="9" customFormat="1" ht="16.5" spans="1:14">
      <c r="A221" s="33" t="s">
        <v>1147</v>
      </c>
      <c r="B221" s="28" t="s">
        <v>1147</v>
      </c>
      <c r="C221" s="28" t="s">
        <v>1147</v>
      </c>
      <c r="D221" s="28" t="s">
        <v>702</v>
      </c>
      <c r="E221" s="28" t="s">
        <v>702</v>
      </c>
      <c r="F221" s="28">
        <v>888888</v>
      </c>
      <c r="G221" s="28">
        <v>888888</v>
      </c>
      <c r="H221" s="28" t="s">
        <v>1148</v>
      </c>
      <c r="I221" s="28"/>
      <c r="J221" s="28"/>
      <c r="K221" s="28" t="s">
        <v>1149</v>
      </c>
      <c r="L221" s="28" t="s">
        <v>1145</v>
      </c>
      <c r="M221" s="28" t="s">
        <v>1077</v>
      </c>
      <c r="N221" s="35" t="s">
        <v>1150</v>
      </c>
    </row>
    <row r="222" s="9" customFormat="1" ht="16.5" spans="1:14">
      <c r="A222" s="33" t="s">
        <v>1151</v>
      </c>
      <c r="B222" s="24" t="s">
        <v>1151</v>
      </c>
      <c r="C222" s="24" t="s">
        <v>1151</v>
      </c>
      <c r="D222" s="24" t="s">
        <v>702</v>
      </c>
      <c r="E222" s="24" t="s">
        <v>702</v>
      </c>
      <c r="F222" s="24">
        <v>888888</v>
      </c>
      <c r="G222" s="24">
        <v>888888</v>
      </c>
      <c r="H222" s="24" t="s">
        <v>1152</v>
      </c>
      <c r="I222" s="24"/>
      <c r="J222" s="24"/>
      <c r="K222" s="24" t="s">
        <v>1153</v>
      </c>
      <c r="L222" s="24" t="s">
        <v>1154</v>
      </c>
      <c r="M222" s="24" t="s">
        <v>1077</v>
      </c>
      <c r="N222" s="34" t="s">
        <v>1155</v>
      </c>
    </row>
    <row r="223" s="9" customFormat="1" ht="16.5" spans="1:14">
      <c r="A223" s="33" t="s">
        <v>1156</v>
      </c>
      <c r="B223" s="28" t="s">
        <v>1156</v>
      </c>
      <c r="C223" s="28" t="s">
        <v>1156</v>
      </c>
      <c r="D223" s="28" t="s">
        <v>702</v>
      </c>
      <c r="E223" s="28" t="s">
        <v>702</v>
      </c>
      <c r="F223" s="28">
        <v>888888</v>
      </c>
      <c r="G223" s="28">
        <v>888888</v>
      </c>
      <c r="H223" s="28" t="s">
        <v>1157</v>
      </c>
      <c r="I223" s="28"/>
      <c r="J223" s="28"/>
      <c r="K223" s="28" t="s">
        <v>1158</v>
      </c>
      <c r="L223" s="28" t="s">
        <v>1154</v>
      </c>
      <c r="M223" s="28" t="s">
        <v>1077</v>
      </c>
      <c r="N223" s="35" t="s">
        <v>1159</v>
      </c>
    </row>
    <row r="224" s="9" customFormat="1" ht="16.5" spans="1:14">
      <c r="A224" s="33" t="s">
        <v>1160</v>
      </c>
      <c r="B224" s="24" t="s">
        <v>1160</v>
      </c>
      <c r="C224" s="24" t="s">
        <v>1160</v>
      </c>
      <c r="D224" s="24" t="s">
        <v>702</v>
      </c>
      <c r="E224" s="24" t="s">
        <v>702</v>
      </c>
      <c r="F224" s="24">
        <v>888888</v>
      </c>
      <c r="G224" s="24">
        <v>888888</v>
      </c>
      <c r="H224" s="24" t="s">
        <v>1161</v>
      </c>
      <c r="I224" s="24"/>
      <c r="J224" s="24"/>
      <c r="K224" s="24" t="s">
        <v>1162</v>
      </c>
      <c r="L224" s="24" t="s">
        <v>1112</v>
      </c>
      <c r="M224" s="24" t="s">
        <v>1077</v>
      </c>
      <c r="N224" s="34" t="s">
        <v>1163</v>
      </c>
    </row>
    <row r="225" s="9" customFormat="1" ht="16.5" spans="1:14">
      <c r="A225" s="33" t="s">
        <v>1164</v>
      </c>
      <c r="B225" s="28" t="s">
        <v>1164</v>
      </c>
      <c r="C225" s="28" t="s">
        <v>1164</v>
      </c>
      <c r="D225" s="28" t="s">
        <v>702</v>
      </c>
      <c r="E225" s="28" t="s">
        <v>702</v>
      </c>
      <c r="F225" s="28">
        <v>888888</v>
      </c>
      <c r="G225" s="28">
        <v>888888</v>
      </c>
      <c r="H225" s="28" t="s">
        <v>1165</v>
      </c>
      <c r="I225" s="28"/>
      <c r="J225" s="28"/>
      <c r="K225" s="28" t="s">
        <v>1166</v>
      </c>
      <c r="L225" s="28" t="s">
        <v>1092</v>
      </c>
      <c r="M225" s="28" t="s">
        <v>1077</v>
      </c>
      <c r="N225" s="35" t="s">
        <v>1167</v>
      </c>
    </row>
    <row r="226" s="9" customFormat="1" ht="16.5" spans="1:14">
      <c r="A226" s="33" t="s">
        <v>1168</v>
      </c>
      <c r="B226" s="24" t="s">
        <v>1168</v>
      </c>
      <c r="C226" s="24" t="s">
        <v>1168</v>
      </c>
      <c r="D226" s="24" t="s">
        <v>702</v>
      </c>
      <c r="E226" s="24" t="s">
        <v>702</v>
      </c>
      <c r="F226" s="24">
        <v>888888</v>
      </c>
      <c r="G226" s="24">
        <v>888888</v>
      </c>
      <c r="H226" s="24" t="s">
        <v>1169</v>
      </c>
      <c r="I226" s="24"/>
      <c r="J226" s="24"/>
      <c r="K226" s="24" t="s">
        <v>1170</v>
      </c>
      <c r="L226" s="24" t="s">
        <v>993</v>
      </c>
      <c r="M226" s="24" t="s">
        <v>1077</v>
      </c>
      <c r="N226" s="34" t="s">
        <v>1171</v>
      </c>
    </row>
    <row r="227" s="9" customFormat="1" ht="16.5" spans="1:14">
      <c r="A227" s="33" t="s">
        <v>1172</v>
      </c>
      <c r="B227" s="28" t="s">
        <v>1172</v>
      </c>
      <c r="C227" s="28" t="s">
        <v>1172</v>
      </c>
      <c r="D227" s="28" t="s">
        <v>702</v>
      </c>
      <c r="E227" s="28" t="s">
        <v>702</v>
      </c>
      <c r="F227" s="28">
        <v>888888</v>
      </c>
      <c r="G227" s="28">
        <v>888888</v>
      </c>
      <c r="H227" s="28" t="s">
        <v>1173</v>
      </c>
      <c r="I227" s="28"/>
      <c r="J227" s="28"/>
      <c r="K227" s="28" t="s">
        <v>1174</v>
      </c>
      <c r="L227" s="28" t="s">
        <v>1087</v>
      </c>
      <c r="M227" s="28" t="s">
        <v>1077</v>
      </c>
      <c r="N227" s="35" t="s">
        <v>1175</v>
      </c>
    </row>
    <row r="228" s="9" customFormat="1" ht="16.5" spans="1:14">
      <c r="A228" s="33" t="s">
        <v>1176</v>
      </c>
      <c r="B228" s="24" t="s">
        <v>1176</v>
      </c>
      <c r="C228" s="24" t="s">
        <v>1176</v>
      </c>
      <c r="D228" s="24" t="s">
        <v>702</v>
      </c>
      <c r="E228" s="24" t="s">
        <v>702</v>
      </c>
      <c r="F228" s="24">
        <v>888888</v>
      </c>
      <c r="G228" s="24">
        <v>888888</v>
      </c>
      <c r="H228" s="24" t="s">
        <v>1177</v>
      </c>
      <c r="I228" s="24"/>
      <c r="J228" s="24"/>
      <c r="K228" s="24" t="s">
        <v>1178</v>
      </c>
      <c r="L228" s="24" t="s">
        <v>1179</v>
      </c>
      <c r="M228" s="24" t="s">
        <v>1077</v>
      </c>
      <c r="N228" s="34" t="s">
        <v>1180</v>
      </c>
    </row>
    <row r="229" s="9" customFormat="1" ht="16.5" spans="1:14">
      <c r="A229" s="33" t="s">
        <v>1181</v>
      </c>
      <c r="B229" s="28" t="s">
        <v>1181</v>
      </c>
      <c r="C229" s="28" t="s">
        <v>1181</v>
      </c>
      <c r="D229" s="28" t="s">
        <v>702</v>
      </c>
      <c r="E229" s="28" t="s">
        <v>702</v>
      </c>
      <c r="F229" s="28">
        <v>888888</v>
      </c>
      <c r="G229" s="28">
        <v>888888</v>
      </c>
      <c r="H229" s="28" t="s">
        <v>1182</v>
      </c>
      <c r="I229" s="28"/>
      <c r="J229" s="28"/>
      <c r="K229" s="28" t="s">
        <v>1183</v>
      </c>
      <c r="L229" s="28" t="s">
        <v>1184</v>
      </c>
      <c r="M229" s="28" t="s">
        <v>1077</v>
      </c>
      <c r="N229" s="35" t="s">
        <v>1185</v>
      </c>
    </row>
    <row r="230" s="9" customFormat="1" ht="16.5" spans="1:14">
      <c r="A230" s="33" t="s">
        <v>1186</v>
      </c>
      <c r="B230" s="24" t="s">
        <v>1186</v>
      </c>
      <c r="C230" s="24" t="s">
        <v>1186</v>
      </c>
      <c r="D230" s="24" t="s">
        <v>702</v>
      </c>
      <c r="E230" s="24" t="s">
        <v>702</v>
      </c>
      <c r="F230" s="24">
        <v>888888</v>
      </c>
      <c r="G230" s="24">
        <v>888888</v>
      </c>
      <c r="H230" s="24" t="s">
        <v>1187</v>
      </c>
      <c r="I230" s="24"/>
      <c r="J230" s="24"/>
      <c r="K230" s="24" t="s">
        <v>1188</v>
      </c>
      <c r="L230" s="24" t="s">
        <v>1184</v>
      </c>
      <c r="M230" s="24" t="s">
        <v>1077</v>
      </c>
      <c r="N230" s="34" t="s">
        <v>1189</v>
      </c>
    </row>
    <row r="231" s="9" customFormat="1" ht="16.5" spans="1:14">
      <c r="A231" s="33" t="s">
        <v>1190</v>
      </c>
      <c r="B231" s="28" t="s">
        <v>1190</v>
      </c>
      <c r="C231" s="28" t="s">
        <v>1190</v>
      </c>
      <c r="D231" s="28" t="s">
        <v>702</v>
      </c>
      <c r="E231" s="28" t="s">
        <v>702</v>
      </c>
      <c r="F231" s="28">
        <v>888888</v>
      </c>
      <c r="G231" s="28">
        <v>888888</v>
      </c>
      <c r="H231" s="28" t="s">
        <v>1191</v>
      </c>
      <c r="I231" s="28"/>
      <c r="J231" s="28"/>
      <c r="K231" s="28" t="s">
        <v>1192</v>
      </c>
      <c r="L231" s="28" t="s">
        <v>1193</v>
      </c>
      <c r="M231" s="28" t="s">
        <v>1077</v>
      </c>
      <c r="N231" s="35" t="s">
        <v>1194</v>
      </c>
    </row>
    <row r="232" s="9" customFormat="1" ht="16.5" spans="1:14">
      <c r="A232" s="33" t="s">
        <v>1195</v>
      </c>
      <c r="B232" s="24" t="s">
        <v>1195</v>
      </c>
      <c r="C232" s="24" t="s">
        <v>1195</v>
      </c>
      <c r="D232" s="24" t="s">
        <v>702</v>
      </c>
      <c r="E232" s="24" t="s">
        <v>702</v>
      </c>
      <c r="F232" s="24">
        <v>888888</v>
      </c>
      <c r="G232" s="24">
        <v>888888</v>
      </c>
      <c r="H232" s="24" t="s">
        <v>1196</v>
      </c>
      <c r="I232" s="24"/>
      <c r="J232" s="24"/>
      <c r="K232" s="24" t="s">
        <v>1197</v>
      </c>
      <c r="L232" s="24" t="s">
        <v>1193</v>
      </c>
      <c r="M232" s="24" t="s">
        <v>1077</v>
      </c>
      <c r="N232" s="34" t="s">
        <v>1198</v>
      </c>
    </row>
    <row r="233" s="9" customFormat="1" ht="16.5" spans="1:14">
      <c r="A233" s="33" t="s">
        <v>1199</v>
      </c>
      <c r="B233" s="28" t="s">
        <v>1199</v>
      </c>
      <c r="C233" s="28" t="s">
        <v>1199</v>
      </c>
      <c r="D233" s="28" t="s">
        <v>702</v>
      </c>
      <c r="E233" s="28" t="s">
        <v>702</v>
      </c>
      <c r="F233" s="28">
        <v>888888</v>
      </c>
      <c r="G233" s="28">
        <v>888888</v>
      </c>
      <c r="H233" s="28" t="s">
        <v>1200</v>
      </c>
      <c r="I233" s="28"/>
      <c r="J233" s="28"/>
      <c r="K233" s="28" t="s">
        <v>1201</v>
      </c>
      <c r="L233" s="28" t="s">
        <v>1193</v>
      </c>
      <c r="M233" s="28" t="s">
        <v>1077</v>
      </c>
      <c r="N233" s="35" t="s">
        <v>1202</v>
      </c>
    </row>
    <row r="234" s="9" customFormat="1" ht="16.5" spans="1:14">
      <c r="A234" s="33" t="s">
        <v>1203</v>
      </c>
      <c r="B234" s="24" t="s">
        <v>1203</v>
      </c>
      <c r="C234" s="24" t="s">
        <v>1203</v>
      </c>
      <c r="D234" s="24" t="s">
        <v>702</v>
      </c>
      <c r="E234" s="24" t="s">
        <v>702</v>
      </c>
      <c r="F234" s="24">
        <v>888888</v>
      </c>
      <c r="G234" s="24">
        <v>888888</v>
      </c>
      <c r="H234" s="24" t="s">
        <v>1204</v>
      </c>
      <c r="I234" s="24"/>
      <c r="J234" s="24"/>
      <c r="K234" s="24" t="s">
        <v>1205</v>
      </c>
      <c r="L234" s="24" t="s">
        <v>1193</v>
      </c>
      <c r="M234" s="24" t="s">
        <v>1077</v>
      </c>
      <c r="N234" s="34" t="s">
        <v>1206</v>
      </c>
    </row>
    <row r="235" s="9" customFormat="1" ht="16.5" spans="1:14">
      <c r="A235" s="33" t="s">
        <v>1207</v>
      </c>
      <c r="B235" s="28" t="s">
        <v>1207</v>
      </c>
      <c r="C235" s="28" t="s">
        <v>1207</v>
      </c>
      <c r="D235" s="28" t="s">
        <v>702</v>
      </c>
      <c r="E235" s="28" t="s">
        <v>702</v>
      </c>
      <c r="F235" s="28">
        <v>888888</v>
      </c>
      <c r="G235" s="28">
        <v>888888</v>
      </c>
      <c r="H235" s="28" t="s">
        <v>1208</v>
      </c>
      <c r="I235" s="28"/>
      <c r="J235" s="28"/>
      <c r="K235" s="28" t="s">
        <v>1209</v>
      </c>
      <c r="L235" s="28" t="s">
        <v>1210</v>
      </c>
      <c r="M235" s="28" t="s">
        <v>1077</v>
      </c>
      <c r="N235" s="35" t="s">
        <v>1211</v>
      </c>
    </row>
    <row r="236" s="9" customFormat="1" ht="16.5" spans="1:14">
      <c r="A236" s="33" t="s">
        <v>1212</v>
      </c>
      <c r="B236" s="24" t="s">
        <v>1212</v>
      </c>
      <c r="C236" s="24" t="s">
        <v>1212</v>
      </c>
      <c r="D236" s="24" t="s">
        <v>702</v>
      </c>
      <c r="E236" s="24" t="s">
        <v>702</v>
      </c>
      <c r="F236" s="24">
        <v>888888</v>
      </c>
      <c r="G236" s="24">
        <v>888888</v>
      </c>
      <c r="H236" s="24" t="s">
        <v>1213</v>
      </c>
      <c r="I236" s="24"/>
      <c r="J236" s="24"/>
      <c r="K236" s="24" t="s">
        <v>1214</v>
      </c>
      <c r="L236" s="24" t="s">
        <v>1210</v>
      </c>
      <c r="M236" s="24" t="s">
        <v>1077</v>
      </c>
      <c r="N236" s="34" t="s">
        <v>1215</v>
      </c>
    </row>
    <row r="237" s="9" customFormat="1" ht="16.5" spans="1:14">
      <c r="A237" s="33" t="s">
        <v>1216</v>
      </c>
      <c r="B237" s="28" t="s">
        <v>1216</v>
      </c>
      <c r="C237" s="28" t="s">
        <v>1216</v>
      </c>
      <c r="D237" s="28" t="s">
        <v>702</v>
      </c>
      <c r="E237" s="28" t="s">
        <v>702</v>
      </c>
      <c r="F237" s="28">
        <v>888888</v>
      </c>
      <c r="G237" s="28">
        <v>888888</v>
      </c>
      <c r="H237" s="28" t="s">
        <v>1217</v>
      </c>
      <c r="I237" s="28"/>
      <c r="J237" s="28"/>
      <c r="K237" s="28" t="s">
        <v>1218</v>
      </c>
      <c r="L237" s="28" t="s">
        <v>1117</v>
      </c>
      <c r="M237" s="28" t="s">
        <v>1077</v>
      </c>
      <c r="N237" s="35" t="s">
        <v>1219</v>
      </c>
    </row>
    <row r="238" s="9" customFormat="1" ht="16.5" spans="1:14">
      <c r="A238" s="33" t="s">
        <v>1220</v>
      </c>
      <c r="B238" s="24" t="s">
        <v>1220</v>
      </c>
      <c r="C238" s="24" t="s">
        <v>1220</v>
      </c>
      <c r="D238" s="24" t="s">
        <v>702</v>
      </c>
      <c r="E238" s="24" t="s">
        <v>702</v>
      </c>
      <c r="F238" s="24">
        <v>888888</v>
      </c>
      <c r="G238" s="24">
        <v>888888</v>
      </c>
      <c r="H238" s="24" t="s">
        <v>1221</v>
      </c>
      <c r="I238" s="24"/>
      <c r="J238" s="24"/>
      <c r="K238" s="24" t="s">
        <v>1222</v>
      </c>
      <c r="L238" s="24" t="s">
        <v>1117</v>
      </c>
      <c r="M238" s="24" t="s">
        <v>1077</v>
      </c>
      <c r="N238" s="34" t="s">
        <v>1223</v>
      </c>
    </row>
    <row r="239" s="9" customFormat="1" ht="16.5" spans="1:14">
      <c r="A239" s="33" t="s">
        <v>1224</v>
      </c>
      <c r="B239" s="28" t="s">
        <v>1224</v>
      </c>
      <c r="C239" s="28" t="s">
        <v>1224</v>
      </c>
      <c r="D239" s="28" t="s">
        <v>702</v>
      </c>
      <c r="E239" s="28" t="s">
        <v>702</v>
      </c>
      <c r="F239" s="28">
        <v>888888</v>
      </c>
      <c r="G239" s="28">
        <v>888888</v>
      </c>
      <c r="H239" s="28" t="s">
        <v>1225</v>
      </c>
      <c r="I239" s="28"/>
      <c r="J239" s="28"/>
      <c r="K239" s="28" t="s">
        <v>1222</v>
      </c>
      <c r="L239" s="28" t="s">
        <v>1117</v>
      </c>
      <c r="M239" s="28" t="s">
        <v>1077</v>
      </c>
      <c r="N239" s="35" t="s">
        <v>1226</v>
      </c>
    </row>
    <row r="240" s="9" customFormat="1" ht="16.5" spans="1:14">
      <c r="A240" s="33" t="s">
        <v>1227</v>
      </c>
      <c r="B240" s="24" t="s">
        <v>1227</v>
      </c>
      <c r="C240" s="24" t="s">
        <v>1227</v>
      </c>
      <c r="D240" s="24" t="s">
        <v>702</v>
      </c>
      <c r="E240" s="24" t="s">
        <v>702</v>
      </c>
      <c r="F240" s="24">
        <v>888888</v>
      </c>
      <c r="G240" s="24">
        <v>888888</v>
      </c>
      <c r="H240" s="24" t="s">
        <v>1228</v>
      </c>
      <c r="I240" s="24"/>
      <c r="J240" s="24"/>
      <c r="K240" s="24" t="s">
        <v>1222</v>
      </c>
      <c r="L240" s="24" t="s">
        <v>1117</v>
      </c>
      <c r="M240" s="24" t="s">
        <v>1077</v>
      </c>
      <c r="N240" s="34" t="s">
        <v>1229</v>
      </c>
    </row>
    <row r="241" s="9" customFormat="1" ht="16.5" spans="1:14">
      <c r="A241" s="33" t="s">
        <v>1230</v>
      </c>
      <c r="B241" s="28" t="s">
        <v>1230</v>
      </c>
      <c r="C241" s="28" t="s">
        <v>1230</v>
      </c>
      <c r="D241" s="28" t="s">
        <v>702</v>
      </c>
      <c r="E241" s="28" t="s">
        <v>702</v>
      </c>
      <c r="F241" s="28">
        <v>888888</v>
      </c>
      <c r="G241" s="28">
        <v>888888</v>
      </c>
      <c r="H241" s="28" t="s">
        <v>1231</v>
      </c>
      <c r="I241" s="28"/>
      <c r="J241" s="28"/>
      <c r="K241" s="28" t="s">
        <v>1232</v>
      </c>
      <c r="L241" s="28" t="s">
        <v>1117</v>
      </c>
      <c r="M241" s="28" t="s">
        <v>1077</v>
      </c>
      <c r="N241" s="35" t="s">
        <v>1233</v>
      </c>
    </row>
    <row r="242" s="9" customFormat="1" ht="16.5" spans="1:14">
      <c r="A242" s="33" t="s">
        <v>1234</v>
      </c>
      <c r="B242" s="24" t="s">
        <v>1234</v>
      </c>
      <c r="C242" s="24" t="s">
        <v>1234</v>
      </c>
      <c r="D242" s="24" t="s">
        <v>702</v>
      </c>
      <c r="E242" s="24" t="s">
        <v>702</v>
      </c>
      <c r="F242" s="24">
        <v>888888</v>
      </c>
      <c r="G242" s="24">
        <v>888888</v>
      </c>
      <c r="H242" s="24" t="s">
        <v>1235</v>
      </c>
      <c r="I242" s="24"/>
      <c r="J242" s="24"/>
      <c r="K242" s="24" t="s">
        <v>1236</v>
      </c>
      <c r="L242" s="24" t="s">
        <v>1117</v>
      </c>
      <c r="M242" s="24" t="s">
        <v>1077</v>
      </c>
      <c r="N242" s="34" t="s">
        <v>1237</v>
      </c>
    </row>
    <row r="243" s="9" customFormat="1" ht="16.5" spans="1:14">
      <c r="A243" s="33" t="s">
        <v>1238</v>
      </c>
      <c r="B243" s="28" t="s">
        <v>1238</v>
      </c>
      <c r="C243" s="28" t="s">
        <v>1238</v>
      </c>
      <c r="D243" s="28" t="s">
        <v>702</v>
      </c>
      <c r="E243" s="28" t="s">
        <v>702</v>
      </c>
      <c r="F243" s="28">
        <v>888888</v>
      </c>
      <c r="G243" s="28">
        <v>888888</v>
      </c>
      <c r="H243" s="28" t="s">
        <v>1239</v>
      </c>
      <c r="I243" s="28"/>
      <c r="J243" s="28"/>
      <c r="K243" s="28" t="s">
        <v>1240</v>
      </c>
      <c r="L243" s="28" t="s">
        <v>1117</v>
      </c>
      <c r="M243" s="28" t="s">
        <v>1077</v>
      </c>
      <c r="N243" s="35" t="s">
        <v>1241</v>
      </c>
    </row>
    <row r="244" s="9" customFormat="1" ht="16.5" spans="1:14">
      <c r="A244" s="33" t="s">
        <v>1242</v>
      </c>
      <c r="B244" s="24" t="s">
        <v>1242</v>
      </c>
      <c r="C244" s="24" t="s">
        <v>1242</v>
      </c>
      <c r="D244" s="24" t="s">
        <v>702</v>
      </c>
      <c r="E244" s="24" t="s">
        <v>702</v>
      </c>
      <c r="F244" s="24">
        <v>888888</v>
      </c>
      <c r="G244" s="24">
        <v>888888</v>
      </c>
      <c r="H244" s="24" t="s">
        <v>1243</v>
      </c>
      <c r="I244" s="24"/>
      <c r="J244" s="24"/>
      <c r="K244" s="24" t="s">
        <v>1244</v>
      </c>
      <c r="L244" s="24" t="s">
        <v>1117</v>
      </c>
      <c r="M244" s="24" t="s">
        <v>1077</v>
      </c>
      <c r="N244" s="34" t="s">
        <v>1245</v>
      </c>
    </row>
    <row r="245" s="9" customFormat="1" ht="16.5" spans="1:14">
      <c r="A245" s="33" t="s">
        <v>1246</v>
      </c>
      <c r="B245" s="28" t="s">
        <v>1246</v>
      </c>
      <c r="C245" s="28" t="s">
        <v>1246</v>
      </c>
      <c r="D245" s="28" t="s">
        <v>702</v>
      </c>
      <c r="E245" s="28" t="s">
        <v>702</v>
      </c>
      <c r="F245" s="28">
        <v>888888</v>
      </c>
      <c r="G245" s="28">
        <v>888888</v>
      </c>
      <c r="H245" s="28" t="s">
        <v>1247</v>
      </c>
      <c r="I245" s="28"/>
      <c r="J245" s="28"/>
      <c r="K245" s="28" t="s">
        <v>1248</v>
      </c>
      <c r="L245" s="28" t="s">
        <v>111</v>
      </c>
      <c r="M245" s="28" t="s">
        <v>1077</v>
      </c>
      <c r="N245" s="35" t="s">
        <v>1249</v>
      </c>
    </row>
    <row r="246" s="9" customFormat="1" ht="16.5" spans="1:14">
      <c r="A246" s="33" t="s">
        <v>1250</v>
      </c>
      <c r="B246" s="24" t="s">
        <v>1250</v>
      </c>
      <c r="C246" s="24" t="s">
        <v>1250</v>
      </c>
      <c r="D246" s="24" t="s">
        <v>702</v>
      </c>
      <c r="E246" s="24" t="s">
        <v>702</v>
      </c>
      <c r="F246" s="24">
        <v>888888</v>
      </c>
      <c r="G246" s="24">
        <v>888888</v>
      </c>
      <c r="H246" s="24" t="s">
        <v>1251</v>
      </c>
      <c r="I246" s="24"/>
      <c r="J246" s="24"/>
      <c r="K246" s="24" t="s">
        <v>1252</v>
      </c>
      <c r="L246" s="24" t="s">
        <v>1253</v>
      </c>
      <c r="M246" s="24" t="s">
        <v>1077</v>
      </c>
      <c r="N246" s="34" t="s">
        <v>1254</v>
      </c>
    </row>
    <row r="247" s="9" customFormat="1" ht="16.5" spans="1:14">
      <c r="A247" s="33" t="s">
        <v>1255</v>
      </c>
      <c r="B247" s="28" t="s">
        <v>1255</v>
      </c>
      <c r="C247" s="28" t="s">
        <v>1255</v>
      </c>
      <c r="D247" s="28" t="s">
        <v>702</v>
      </c>
      <c r="E247" s="28" t="s">
        <v>702</v>
      </c>
      <c r="F247" s="28">
        <v>888888</v>
      </c>
      <c r="G247" s="28">
        <v>888888</v>
      </c>
      <c r="H247" s="28" t="s">
        <v>1256</v>
      </c>
      <c r="I247" s="28"/>
      <c r="J247" s="28"/>
      <c r="K247" s="28" t="s">
        <v>1257</v>
      </c>
      <c r="L247" s="28" t="s">
        <v>1258</v>
      </c>
      <c r="M247" s="28" t="s">
        <v>1077</v>
      </c>
      <c r="N247" s="35" t="s">
        <v>1259</v>
      </c>
    </row>
    <row r="248" s="9" customFormat="1" ht="16.5" spans="1:14">
      <c r="A248" s="33" t="s">
        <v>1260</v>
      </c>
      <c r="B248" s="24" t="s">
        <v>1260</v>
      </c>
      <c r="C248" s="24" t="s">
        <v>1260</v>
      </c>
      <c r="D248" s="24" t="s">
        <v>702</v>
      </c>
      <c r="E248" s="24" t="s">
        <v>702</v>
      </c>
      <c r="F248" s="24">
        <v>888888</v>
      </c>
      <c r="G248" s="24">
        <v>888888</v>
      </c>
      <c r="H248" s="24" t="s">
        <v>1261</v>
      </c>
      <c r="I248" s="24"/>
      <c r="J248" s="24"/>
      <c r="K248" s="24" t="s">
        <v>1257</v>
      </c>
      <c r="L248" s="24" t="s">
        <v>1258</v>
      </c>
      <c r="M248" s="24" t="s">
        <v>1077</v>
      </c>
      <c r="N248" s="34" t="s">
        <v>1262</v>
      </c>
    </row>
    <row r="249" s="9" customFormat="1" ht="16.5" spans="1:14">
      <c r="A249" s="33" t="s">
        <v>1263</v>
      </c>
      <c r="B249" s="28" t="s">
        <v>1263</v>
      </c>
      <c r="C249" s="28" t="s">
        <v>1263</v>
      </c>
      <c r="D249" s="28" t="s">
        <v>702</v>
      </c>
      <c r="E249" s="28" t="s">
        <v>702</v>
      </c>
      <c r="F249" s="28">
        <v>888888</v>
      </c>
      <c r="G249" s="28">
        <v>888888</v>
      </c>
      <c r="H249" s="28" t="s">
        <v>1264</v>
      </c>
      <c r="I249" s="28"/>
      <c r="J249" s="28"/>
      <c r="K249" s="28" t="s">
        <v>1265</v>
      </c>
      <c r="L249" s="28" t="s">
        <v>1258</v>
      </c>
      <c r="M249" s="28" t="s">
        <v>1077</v>
      </c>
      <c r="N249" s="35" t="s">
        <v>1266</v>
      </c>
    </row>
    <row r="250" s="9" customFormat="1" ht="16.5" spans="1:14">
      <c r="A250" s="33" t="s">
        <v>1267</v>
      </c>
      <c r="B250" s="24" t="s">
        <v>1267</v>
      </c>
      <c r="C250" s="24" t="s">
        <v>1267</v>
      </c>
      <c r="D250" s="24" t="s">
        <v>702</v>
      </c>
      <c r="E250" s="24" t="s">
        <v>702</v>
      </c>
      <c r="F250" s="24">
        <v>888888</v>
      </c>
      <c r="G250" s="24">
        <v>888888</v>
      </c>
      <c r="H250" s="24" t="s">
        <v>1268</v>
      </c>
      <c r="I250" s="24"/>
      <c r="J250" s="24"/>
      <c r="K250" s="24" t="s">
        <v>1269</v>
      </c>
      <c r="L250" s="24" t="s">
        <v>1253</v>
      </c>
      <c r="M250" s="24" t="s">
        <v>1077</v>
      </c>
      <c r="N250" s="34" t="s">
        <v>1270</v>
      </c>
    </row>
    <row r="251" s="9" customFormat="1" ht="16.5" spans="1:14">
      <c r="A251" s="33" t="s">
        <v>1271</v>
      </c>
      <c r="B251" s="28" t="s">
        <v>1271</v>
      </c>
      <c r="C251" s="28" t="s">
        <v>1271</v>
      </c>
      <c r="D251" s="28" t="s">
        <v>702</v>
      </c>
      <c r="E251" s="28" t="s">
        <v>702</v>
      </c>
      <c r="F251" s="28">
        <v>888888</v>
      </c>
      <c r="G251" s="28">
        <v>888888</v>
      </c>
      <c r="H251" s="28" t="s">
        <v>1272</v>
      </c>
      <c r="I251" s="28"/>
      <c r="J251" s="28"/>
      <c r="K251" s="28" t="s">
        <v>1273</v>
      </c>
      <c r="L251" s="28" t="s">
        <v>1253</v>
      </c>
      <c r="M251" s="28" t="s">
        <v>1077</v>
      </c>
      <c r="N251" s="35" t="s">
        <v>1274</v>
      </c>
    </row>
    <row r="252" s="9" customFormat="1" ht="16.5" spans="1:14">
      <c r="A252" s="33" t="s">
        <v>1275</v>
      </c>
      <c r="B252" s="24" t="s">
        <v>1275</v>
      </c>
      <c r="C252" s="24" t="s">
        <v>1275</v>
      </c>
      <c r="D252" s="24" t="s">
        <v>702</v>
      </c>
      <c r="E252" s="24" t="s">
        <v>702</v>
      </c>
      <c r="F252" s="24">
        <v>888888</v>
      </c>
      <c r="G252" s="24">
        <v>888888</v>
      </c>
      <c r="H252" s="24" t="s">
        <v>1276</v>
      </c>
      <c r="I252" s="24"/>
      <c r="J252" s="24"/>
      <c r="K252" s="24" t="s">
        <v>1277</v>
      </c>
      <c r="L252" s="24" t="s">
        <v>1253</v>
      </c>
      <c r="M252" s="24" t="s">
        <v>1077</v>
      </c>
      <c r="N252" s="34" t="s">
        <v>1278</v>
      </c>
    </row>
    <row r="253" s="9" customFormat="1" ht="16.5" spans="1:14">
      <c r="A253" s="33" t="s">
        <v>1279</v>
      </c>
      <c r="B253" s="28" t="s">
        <v>1279</v>
      </c>
      <c r="C253" s="28" t="s">
        <v>1279</v>
      </c>
      <c r="D253" s="28" t="s">
        <v>702</v>
      </c>
      <c r="E253" s="28" t="s">
        <v>702</v>
      </c>
      <c r="F253" s="28">
        <v>888888</v>
      </c>
      <c r="G253" s="28">
        <v>888888</v>
      </c>
      <c r="H253" s="28" t="s">
        <v>1280</v>
      </c>
      <c r="I253" s="28"/>
      <c r="J253" s="28"/>
      <c r="K253" s="28" t="s">
        <v>1281</v>
      </c>
      <c r="L253" s="28" t="s">
        <v>1253</v>
      </c>
      <c r="M253" s="28" t="s">
        <v>1077</v>
      </c>
      <c r="N253" s="35" t="s">
        <v>1282</v>
      </c>
    </row>
    <row r="254" s="9" customFormat="1" ht="16.5" spans="1:14">
      <c r="A254" s="33" t="s">
        <v>1283</v>
      </c>
      <c r="B254" s="24" t="s">
        <v>1283</v>
      </c>
      <c r="C254" s="24" t="s">
        <v>1283</v>
      </c>
      <c r="D254" s="24" t="s">
        <v>702</v>
      </c>
      <c r="E254" s="24" t="s">
        <v>702</v>
      </c>
      <c r="F254" s="24">
        <v>888888</v>
      </c>
      <c r="G254" s="24">
        <v>888888</v>
      </c>
      <c r="H254" s="24" t="s">
        <v>1284</v>
      </c>
      <c r="I254" s="24"/>
      <c r="J254" s="24"/>
      <c r="K254" s="24" t="s">
        <v>1285</v>
      </c>
      <c r="L254" s="24" t="s">
        <v>1253</v>
      </c>
      <c r="M254" s="24" t="s">
        <v>1077</v>
      </c>
      <c r="N254" s="34" t="s">
        <v>1286</v>
      </c>
    </row>
    <row r="255" s="9" customFormat="1" ht="16.5" spans="1:14">
      <c r="A255" s="33" t="s">
        <v>1287</v>
      </c>
      <c r="B255" s="28" t="s">
        <v>1287</v>
      </c>
      <c r="C255" s="28" t="s">
        <v>1287</v>
      </c>
      <c r="D255" s="28" t="s">
        <v>702</v>
      </c>
      <c r="E255" s="28" t="s">
        <v>702</v>
      </c>
      <c r="F255" s="28">
        <v>888888</v>
      </c>
      <c r="G255" s="28">
        <v>888888</v>
      </c>
      <c r="H255" s="28" t="s">
        <v>1288</v>
      </c>
      <c r="I255" s="28"/>
      <c r="J255" s="28"/>
      <c r="K255" s="28" t="s">
        <v>1289</v>
      </c>
      <c r="L255" s="28" t="s">
        <v>1082</v>
      </c>
      <c r="M255" s="28" t="s">
        <v>1077</v>
      </c>
      <c r="N255" s="35" t="s">
        <v>1290</v>
      </c>
    </row>
    <row r="256" s="9" customFormat="1" ht="16.5" spans="1:14">
      <c r="A256" s="33" t="s">
        <v>1291</v>
      </c>
      <c r="B256" s="24" t="s">
        <v>1291</v>
      </c>
      <c r="C256" s="24" t="s">
        <v>1291</v>
      </c>
      <c r="D256" s="24" t="s">
        <v>702</v>
      </c>
      <c r="E256" s="24" t="s">
        <v>702</v>
      </c>
      <c r="F256" s="24">
        <v>888888</v>
      </c>
      <c r="G256" s="24">
        <v>888888</v>
      </c>
      <c r="H256" s="24" t="s">
        <v>1292</v>
      </c>
      <c r="I256" s="24"/>
      <c r="J256" s="24"/>
      <c r="K256" s="24" t="s">
        <v>1293</v>
      </c>
      <c r="L256" s="24" t="s">
        <v>1294</v>
      </c>
      <c r="M256" s="24" t="s">
        <v>1077</v>
      </c>
      <c r="N256" s="34" t="s">
        <v>1295</v>
      </c>
    </row>
    <row r="257" s="9" customFormat="1" ht="16.5" spans="1:14">
      <c r="A257" s="33" t="s">
        <v>1296</v>
      </c>
      <c r="B257" s="28" t="s">
        <v>1296</v>
      </c>
      <c r="C257" s="28" t="s">
        <v>1296</v>
      </c>
      <c r="D257" s="28" t="s">
        <v>702</v>
      </c>
      <c r="E257" s="28" t="s">
        <v>702</v>
      </c>
      <c r="F257" s="28">
        <v>888888</v>
      </c>
      <c r="G257" s="28">
        <v>888888</v>
      </c>
      <c r="H257" s="28" t="s">
        <v>1297</v>
      </c>
      <c r="I257" s="28"/>
      <c r="J257" s="28"/>
      <c r="K257" s="28" t="s">
        <v>1298</v>
      </c>
      <c r="L257" s="28" t="s">
        <v>1294</v>
      </c>
      <c r="M257" s="28" t="s">
        <v>1077</v>
      </c>
      <c r="N257" s="35" t="s">
        <v>1299</v>
      </c>
    </row>
    <row r="258" s="9" customFormat="1" ht="16.5" spans="1:14">
      <c r="A258" s="33" t="s">
        <v>1300</v>
      </c>
      <c r="B258" s="24" t="s">
        <v>1300</v>
      </c>
      <c r="C258" s="24" t="s">
        <v>1300</v>
      </c>
      <c r="D258" s="24" t="s">
        <v>702</v>
      </c>
      <c r="E258" s="24" t="s">
        <v>702</v>
      </c>
      <c r="F258" s="24">
        <v>888888</v>
      </c>
      <c r="G258" s="24">
        <v>888888</v>
      </c>
      <c r="H258" s="24" t="s">
        <v>1301</v>
      </c>
      <c r="I258" s="24"/>
      <c r="J258" s="24"/>
      <c r="K258" s="24" t="s">
        <v>1302</v>
      </c>
      <c r="L258" s="24" t="s">
        <v>1097</v>
      </c>
      <c r="M258" s="24" t="s">
        <v>1077</v>
      </c>
      <c r="N258" s="34" t="s">
        <v>1303</v>
      </c>
    </row>
    <row r="259" s="9" customFormat="1" ht="16.5" spans="1:14">
      <c r="A259" s="33" t="s">
        <v>1304</v>
      </c>
      <c r="B259" s="28" t="s">
        <v>1304</v>
      </c>
      <c r="C259" s="28" t="s">
        <v>1304</v>
      </c>
      <c r="D259" s="28" t="s">
        <v>702</v>
      </c>
      <c r="E259" s="28" t="s">
        <v>702</v>
      </c>
      <c r="F259" s="28">
        <v>888888</v>
      </c>
      <c r="G259" s="28">
        <v>888888</v>
      </c>
      <c r="H259" s="28" t="s">
        <v>1305</v>
      </c>
      <c r="I259" s="28"/>
      <c r="J259" s="28"/>
      <c r="K259" s="28" t="s">
        <v>1306</v>
      </c>
      <c r="L259" s="28" t="s">
        <v>1097</v>
      </c>
      <c r="M259" s="28" t="s">
        <v>1077</v>
      </c>
      <c r="N259" s="35" t="s">
        <v>1307</v>
      </c>
    </row>
    <row r="260" s="9" customFormat="1" ht="16.5" spans="1:14">
      <c r="A260" s="33" t="s">
        <v>1308</v>
      </c>
      <c r="B260" s="24" t="s">
        <v>1308</v>
      </c>
      <c r="C260" s="24" t="s">
        <v>1308</v>
      </c>
      <c r="D260" s="24" t="s">
        <v>702</v>
      </c>
      <c r="E260" s="24" t="s">
        <v>702</v>
      </c>
      <c r="F260" s="24">
        <v>888888</v>
      </c>
      <c r="G260" s="24">
        <v>888888</v>
      </c>
      <c r="H260" s="24" t="s">
        <v>1309</v>
      </c>
      <c r="I260" s="24"/>
      <c r="J260" s="24"/>
      <c r="K260" s="24" t="s">
        <v>1310</v>
      </c>
      <c r="L260" s="24" t="s">
        <v>1097</v>
      </c>
      <c r="M260" s="24" t="s">
        <v>1077</v>
      </c>
      <c r="N260" s="34" t="s">
        <v>1311</v>
      </c>
    </row>
    <row r="261" s="9" customFormat="1" ht="16.5" spans="1:14">
      <c r="A261" s="33" t="s">
        <v>1312</v>
      </c>
      <c r="B261" s="28" t="s">
        <v>1312</v>
      </c>
      <c r="C261" s="28" t="s">
        <v>1312</v>
      </c>
      <c r="D261" s="28" t="s">
        <v>702</v>
      </c>
      <c r="E261" s="28" t="s">
        <v>702</v>
      </c>
      <c r="F261" s="28">
        <v>888888</v>
      </c>
      <c r="G261" s="28">
        <v>888888</v>
      </c>
      <c r="H261" s="28" t="s">
        <v>1313</v>
      </c>
      <c r="I261" s="28"/>
      <c r="J261" s="28"/>
      <c r="K261" s="28" t="s">
        <v>1314</v>
      </c>
      <c r="L261" s="28" t="s">
        <v>1097</v>
      </c>
      <c r="M261" s="28" t="s">
        <v>1077</v>
      </c>
      <c r="N261" s="35" t="s">
        <v>1315</v>
      </c>
    </row>
    <row r="262" s="9" customFormat="1" ht="16.5" spans="1:14">
      <c r="A262" s="33" t="s">
        <v>1316</v>
      </c>
      <c r="B262" s="24" t="s">
        <v>1316</v>
      </c>
      <c r="C262" s="24" t="s">
        <v>1316</v>
      </c>
      <c r="D262" s="24" t="s">
        <v>702</v>
      </c>
      <c r="E262" s="24" t="s">
        <v>702</v>
      </c>
      <c r="F262" s="24">
        <v>888888</v>
      </c>
      <c r="G262" s="24">
        <v>888888</v>
      </c>
      <c r="H262" s="24" t="s">
        <v>1317</v>
      </c>
      <c r="I262" s="24"/>
      <c r="J262" s="24"/>
      <c r="K262" s="24" t="s">
        <v>1318</v>
      </c>
      <c r="L262" s="24" t="s">
        <v>1097</v>
      </c>
      <c r="M262" s="24" t="s">
        <v>1077</v>
      </c>
      <c r="N262" s="34" t="s">
        <v>1319</v>
      </c>
    </row>
    <row r="263" s="9" customFormat="1" ht="16.5" spans="1:14">
      <c r="A263" s="33" t="s">
        <v>1320</v>
      </c>
      <c r="B263" s="28" t="s">
        <v>1320</v>
      </c>
      <c r="C263" s="28" t="s">
        <v>1320</v>
      </c>
      <c r="D263" s="28" t="s">
        <v>702</v>
      </c>
      <c r="E263" s="28" t="s">
        <v>702</v>
      </c>
      <c r="F263" s="28">
        <v>888888</v>
      </c>
      <c r="G263" s="28">
        <v>888888</v>
      </c>
      <c r="H263" s="28" t="s">
        <v>1321</v>
      </c>
      <c r="I263" s="28"/>
      <c r="J263" s="28"/>
      <c r="K263" s="28" t="s">
        <v>1322</v>
      </c>
      <c r="L263" s="28" t="s">
        <v>1097</v>
      </c>
      <c r="M263" s="28" t="s">
        <v>1077</v>
      </c>
      <c r="N263" s="35" t="s">
        <v>1323</v>
      </c>
    </row>
    <row r="264" s="9" customFormat="1" ht="16.5" spans="1:14">
      <c r="A264" s="33" t="s">
        <v>1324</v>
      </c>
      <c r="B264" s="24" t="s">
        <v>1324</v>
      </c>
      <c r="C264" s="24" t="s">
        <v>1324</v>
      </c>
      <c r="D264" s="24" t="s">
        <v>702</v>
      </c>
      <c r="E264" s="24" t="s">
        <v>702</v>
      </c>
      <c r="F264" s="24">
        <v>888888</v>
      </c>
      <c r="G264" s="24">
        <v>888888</v>
      </c>
      <c r="H264" s="24" t="s">
        <v>1325</v>
      </c>
      <c r="I264" s="24"/>
      <c r="J264" s="24"/>
      <c r="K264" s="24" t="s">
        <v>1326</v>
      </c>
      <c r="L264" s="24" t="s">
        <v>1097</v>
      </c>
      <c r="M264" s="24" t="s">
        <v>1077</v>
      </c>
      <c r="N264" s="34" t="s">
        <v>1327</v>
      </c>
    </row>
    <row r="265" s="9" customFormat="1" ht="16.5" spans="1:14">
      <c r="A265" s="33" t="s">
        <v>1328</v>
      </c>
      <c r="B265" s="28" t="s">
        <v>1328</v>
      </c>
      <c r="C265" s="28" t="s">
        <v>1328</v>
      </c>
      <c r="D265" s="28" t="s">
        <v>702</v>
      </c>
      <c r="E265" s="28" t="s">
        <v>702</v>
      </c>
      <c r="F265" s="28">
        <v>888888</v>
      </c>
      <c r="G265" s="28">
        <v>888888</v>
      </c>
      <c r="H265" s="28" t="s">
        <v>1329</v>
      </c>
      <c r="I265" s="28"/>
      <c r="J265" s="28"/>
      <c r="K265" s="28" t="s">
        <v>1330</v>
      </c>
      <c r="L265" s="28" t="s">
        <v>1131</v>
      </c>
      <c r="M265" s="28" t="s">
        <v>1077</v>
      </c>
      <c r="N265" s="35" t="s">
        <v>1331</v>
      </c>
    </row>
    <row r="266" s="9" customFormat="1" ht="16.5" spans="1:14">
      <c r="A266" s="33" t="s">
        <v>1332</v>
      </c>
      <c r="B266" s="24" t="s">
        <v>1332</v>
      </c>
      <c r="C266" s="24" t="s">
        <v>1332</v>
      </c>
      <c r="D266" s="24" t="s">
        <v>702</v>
      </c>
      <c r="E266" s="24" t="s">
        <v>702</v>
      </c>
      <c r="F266" s="24">
        <v>888888</v>
      </c>
      <c r="G266" s="24">
        <v>888888</v>
      </c>
      <c r="H266" s="24" t="s">
        <v>1333</v>
      </c>
      <c r="I266" s="24"/>
      <c r="J266" s="24"/>
      <c r="K266" s="24" t="s">
        <v>1334</v>
      </c>
      <c r="L266" s="24" t="s">
        <v>1335</v>
      </c>
      <c r="M266" s="24" t="s">
        <v>1077</v>
      </c>
      <c r="N266" s="34" t="s">
        <v>1336</v>
      </c>
    </row>
    <row r="267" s="9" customFormat="1" ht="16.5" spans="1:14">
      <c r="A267" s="33" t="s">
        <v>1337</v>
      </c>
      <c r="B267" s="28" t="s">
        <v>1337</v>
      </c>
      <c r="C267" s="28" t="s">
        <v>1337</v>
      </c>
      <c r="D267" s="28" t="s">
        <v>702</v>
      </c>
      <c r="E267" s="28" t="s">
        <v>702</v>
      </c>
      <c r="F267" s="28">
        <v>888888</v>
      </c>
      <c r="G267" s="28">
        <v>888888</v>
      </c>
      <c r="H267" s="28" t="s">
        <v>1338</v>
      </c>
      <c r="I267" s="28"/>
      <c r="J267" s="28"/>
      <c r="K267" s="28" t="s">
        <v>1339</v>
      </c>
      <c r="L267" s="28" t="s">
        <v>1335</v>
      </c>
      <c r="M267" s="28" t="s">
        <v>1077</v>
      </c>
      <c r="N267" s="35" t="s">
        <v>1340</v>
      </c>
    </row>
    <row r="268" s="9" customFormat="1" ht="16.5" spans="1:14">
      <c r="A268" s="33" t="s">
        <v>1341</v>
      </c>
      <c r="B268" s="24" t="s">
        <v>1341</v>
      </c>
      <c r="C268" s="24" t="s">
        <v>1341</v>
      </c>
      <c r="D268" s="24" t="s">
        <v>702</v>
      </c>
      <c r="E268" s="24" t="s">
        <v>702</v>
      </c>
      <c r="F268" s="24">
        <v>888888</v>
      </c>
      <c r="G268" s="24">
        <v>888888</v>
      </c>
      <c r="H268" s="24" t="s">
        <v>1342</v>
      </c>
      <c r="I268" s="24"/>
      <c r="J268" s="24"/>
      <c r="K268" s="24" t="s">
        <v>1343</v>
      </c>
      <c r="L268" s="24" t="s">
        <v>1344</v>
      </c>
      <c r="M268" s="24" t="s">
        <v>1077</v>
      </c>
      <c r="N268" s="34" t="s">
        <v>1345</v>
      </c>
    </row>
    <row r="269" s="9" customFormat="1" ht="16.5" spans="1:14">
      <c r="A269" s="33" t="s">
        <v>1346</v>
      </c>
      <c r="B269" s="28" t="s">
        <v>1346</v>
      </c>
      <c r="C269" s="28" t="s">
        <v>1346</v>
      </c>
      <c r="D269" s="28" t="s">
        <v>702</v>
      </c>
      <c r="E269" s="28" t="s">
        <v>702</v>
      </c>
      <c r="F269" s="28">
        <v>888888</v>
      </c>
      <c r="G269" s="28">
        <v>888888</v>
      </c>
      <c r="H269" s="28" t="s">
        <v>1347</v>
      </c>
      <c r="I269" s="28"/>
      <c r="J269" s="28"/>
      <c r="K269" s="28" t="s">
        <v>1348</v>
      </c>
      <c r="L269" s="28" t="s">
        <v>1344</v>
      </c>
      <c r="M269" s="28" t="s">
        <v>1077</v>
      </c>
      <c r="N269" s="35" t="s">
        <v>1349</v>
      </c>
    </row>
    <row r="270" s="9" customFormat="1" ht="16.5" spans="1:14">
      <c r="A270" s="33" t="s">
        <v>1350</v>
      </c>
      <c r="B270" s="24" t="s">
        <v>1350</v>
      </c>
      <c r="C270" s="24" t="s">
        <v>1350</v>
      </c>
      <c r="D270" s="24" t="s">
        <v>702</v>
      </c>
      <c r="E270" s="24" t="s">
        <v>702</v>
      </c>
      <c r="F270" s="24">
        <v>888888</v>
      </c>
      <c r="G270" s="24">
        <v>888888</v>
      </c>
      <c r="H270" s="24" t="s">
        <v>1351</v>
      </c>
      <c r="I270" s="24"/>
      <c r="J270" s="24"/>
      <c r="K270" s="24" t="s">
        <v>1352</v>
      </c>
      <c r="L270" s="24" t="s">
        <v>1140</v>
      </c>
      <c r="M270" s="24" t="s">
        <v>1077</v>
      </c>
      <c r="N270" s="34" t="s">
        <v>1353</v>
      </c>
    </row>
    <row r="271" s="9" customFormat="1" ht="16.5" spans="1:14">
      <c r="A271" s="33" t="s">
        <v>1354</v>
      </c>
      <c r="B271" s="28" t="s">
        <v>1354</v>
      </c>
      <c r="C271" s="28" t="s">
        <v>1354</v>
      </c>
      <c r="D271" s="28" t="s">
        <v>702</v>
      </c>
      <c r="E271" s="28" t="s">
        <v>702</v>
      </c>
      <c r="F271" s="28">
        <v>888888</v>
      </c>
      <c r="G271" s="28">
        <v>888888</v>
      </c>
      <c r="H271" s="28" t="s">
        <v>1355</v>
      </c>
      <c r="I271" s="28"/>
      <c r="J271" s="28"/>
      <c r="K271" s="28" t="s">
        <v>1356</v>
      </c>
      <c r="L271" s="28" t="s">
        <v>1140</v>
      </c>
      <c r="M271" s="28" t="s">
        <v>1077</v>
      </c>
      <c r="N271" s="35" t="s">
        <v>1357</v>
      </c>
    </row>
    <row r="272" s="9" customFormat="1" ht="16.5" spans="1:14">
      <c r="A272" s="33" t="s">
        <v>1358</v>
      </c>
      <c r="B272" s="24" t="s">
        <v>1358</v>
      </c>
      <c r="C272" s="24" t="s">
        <v>1358</v>
      </c>
      <c r="D272" s="24" t="s">
        <v>702</v>
      </c>
      <c r="E272" s="24" t="s">
        <v>702</v>
      </c>
      <c r="F272" s="24">
        <v>888888</v>
      </c>
      <c r="G272" s="24">
        <v>888888</v>
      </c>
      <c r="H272" s="24" t="s">
        <v>1359</v>
      </c>
      <c r="I272" s="24"/>
      <c r="J272" s="24"/>
      <c r="K272" s="24" t="s">
        <v>1360</v>
      </c>
      <c r="L272" s="24" t="s">
        <v>1145</v>
      </c>
      <c r="M272" s="24" t="s">
        <v>1077</v>
      </c>
      <c r="N272" s="34" t="s">
        <v>1361</v>
      </c>
    </row>
    <row r="273" s="9" customFormat="1" ht="16.5" spans="1:14">
      <c r="A273" s="33" t="s">
        <v>1362</v>
      </c>
      <c r="B273" s="28" t="s">
        <v>1362</v>
      </c>
      <c r="C273" s="28" t="s">
        <v>1362</v>
      </c>
      <c r="D273" s="28" t="s">
        <v>702</v>
      </c>
      <c r="E273" s="28" t="s">
        <v>702</v>
      </c>
      <c r="F273" s="28">
        <v>888888</v>
      </c>
      <c r="G273" s="28">
        <v>888888</v>
      </c>
      <c r="H273" s="28" t="s">
        <v>1363</v>
      </c>
      <c r="I273" s="28"/>
      <c r="J273" s="28"/>
      <c r="K273" s="28" t="s">
        <v>1360</v>
      </c>
      <c r="L273" s="28" t="s">
        <v>1145</v>
      </c>
      <c r="M273" s="28" t="s">
        <v>1077</v>
      </c>
      <c r="N273" s="35" t="s">
        <v>1364</v>
      </c>
    </row>
    <row r="274" s="9" customFormat="1" ht="16.5" spans="1:14">
      <c r="A274" s="33" t="s">
        <v>1365</v>
      </c>
      <c r="B274" s="24" t="s">
        <v>1365</v>
      </c>
      <c r="C274" s="24" t="s">
        <v>1365</v>
      </c>
      <c r="D274" s="24" t="s">
        <v>702</v>
      </c>
      <c r="E274" s="24" t="s">
        <v>702</v>
      </c>
      <c r="F274" s="24">
        <v>888888</v>
      </c>
      <c r="G274" s="24">
        <v>888888</v>
      </c>
      <c r="H274" s="24" t="s">
        <v>1366</v>
      </c>
      <c r="I274" s="24"/>
      <c r="J274" s="24"/>
      <c r="K274" s="24" t="s">
        <v>1367</v>
      </c>
      <c r="L274" s="24" t="s">
        <v>1145</v>
      </c>
      <c r="M274" s="24" t="s">
        <v>1077</v>
      </c>
      <c r="N274" s="34" t="s">
        <v>1368</v>
      </c>
    </row>
    <row r="275" s="9" customFormat="1" ht="16.5" spans="1:14">
      <c r="A275" s="33" t="s">
        <v>1369</v>
      </c>
      <c r="B275" s="28" t="s">
        <v>1369</v>
      </c>
      <c r="C275" s="28" t="s">
        <v>1369</v>
      </c>
      <c r="D275" s="28" t="s">
        <v>702</v>
      </c>
      <c r="E275" s="28" t="s">
        <v>702</v>
      </c>
      <c r="F275" s="28">
        <v>888888</v>
      </c>
      <c r="G275" s="28">
        <v>888888</v>
      </c>
      <c r="H275" s="28" t="s">
        <v>1370</v>
      </c>
      <c r="I275" s="28"/>
      <c r="J275" s="28"/>
      <c r="K275" s="28" t="s">
        <v>1371</v>
      </c>
      <c r="L275" s="28" t="s">
        <v>1145</v>
      </c>
      <c r="M275" s="28" t="s">
        <v>1077</v>
      </c>
      <c r="N275" s="35" t="s">
        <v>1372</v>
      </c>
    </row>
    <row r="276" s="9" customFormat="1" ht="16.5" spans="1:14">
      <c r="A276" s="33" t="s">
        <v>1373</v>
      </c>
      <c r="B276" s="24" t="s">
        <v>1373</v>
      </c>
      <c r="C276" s="24" t="s">
        <v>1373</v>
      </c>
      <c r="D276" s="24" t="s">
        <v>702</v>
      </c>
      <c r="E276" s="24" t="s">
        <v>702</v>
      </c>
      <c r="F276" s="24">
        <v>888888</v>
      </c>
      <c r="G276" s="24">
        <v>888888</v>
      </c>
      <c r="H276" s="24" t="s">
        <v>1374</v>
      </c>
      <c r="I276" s="24"/>
      <c r="J276" s="24"/>
      <c r="K276" s="24" t="s">
        <v>1375</v>
      </c>
      <c r="L276" s="24" t="s">
        <v>1376</v>
      </c>
      <c r="M276" s="24" t="s">
        <v>1077</v>
      </c>
      <c r="N276" s="34" t="s">
        <v>1377</v>
      </c>
    </row>
    <row r="277" s="9" customFormat="1" ht="16.5" spans="1:14">
      <c r="A277" s="33" t="s">
        <v>1378</v>
      </c>
      <c r="B277" s="28" t="s">
        <v>1378</v>
      </c>
      <c r="C277" s="28" t="s">
        <v>1378</v>
      </c>
      <c r="D277" s="28" t="s">
        <v>702</v>
      </c>
      <c r="E277" s="28" t="s">
        <v>702</v>
      </c>
      <c r="F277" s="28">
        <v>888888</v>
      </c>
      <c r="G277" s="28">
        <v>888888</v>
      </c>
      <c r="H277" s="28" t="s">
        <v>1379</v>
      </c>
      <c r="I277" s="28"/>
      <c r="J277" s="28"/>
      <c r="K277" s="28" t="s">
        <v>1380</v>
      </c>
      <c r="L277" s="28" t="s">
        <v>1376</v>
      </c>
      <c r="M277" s="28" t="s">
        <v>1077</v>
      </c>
      <c r="N277" s="35" t="s">
        <v>1381</v>
      </c>
    </row>
    <row r="278" s="9" customFormat="1" ht="16.5" spans="1:14">
      <c r="A278" s="33" t="s">
        <v>1382</v>
      </c>
      <c r="B278" s="24" t="s">
        <v>1382</v>
      </c>
      <c r="C278" s="24" t="s">
        <v>1382</v>
      </c>
      <c r="D278" s="24" t="s">
        <v>702</v>
      </c>
      <c r="E278" s="24" t="s">
        <v>702</v>
      </c>
      <c r="F278" s="24">
        <v>888888</v>
      </c>
      <c r="G278" s="24">
        <v>888888</v>
      </c>
      <c r="H278" s="24" t="s">
        <v>1383</v>
      </c>
      <c r="I278" s="24"/>
      <c r="J278" s="24"/>
      <c r="K278" s="24" t="s">
        <v>1384</v>
      </c>
      <c r="L278" s="24" t="s">
        <v>1385</v>
      </c>
      <c r="M278" s="24" t="s">
        <v>1077</v>
      </c>
      <c r="N278" s="34" t="s">
        <v>1386</v>
      </c>
    </row>
    <row r="279" s="9" customFormat="1" ht="16.5" spans="1:14">
      <c r="A279" s="33" t="s">
        <v>1387</v>
      </c>
      <c r="B279" s="28" t="s">
        <v>1387</v>
      </c>
      <c r="C279" s="28" t="s">
        <v>1387</v>
      </c>
      <c r="D279" s="28" t="s">
        <v>702</v>
      </c>
      <c r="E279" s="28" t="s">
        <v>702</v>
      </c>
      <c r="F279" s="28">
        <v>888888</v>
      </c>
      <c r="G279" s="28">
        <v>888888</v>
      </c>
      <c r="H279" s="28" t="s">
        <v>1388</v>
      </c>
      <c r="I279" s="28"/>
      <c r="J279" s="28"/>
      <c r="K279" s="28" t="s">
        <v>1389</v>
      </c>
      <c r="L279" s="28" t="s">
        <v>1154</v>
      </c>
      <c r="M279" s="28" t="s">
        <v>1077</v>
      </c>
      <c r="N279" s="35" t="s">
        <v>1390</v>
      </c>
    </row>
    <row r="280" s="9" customFormat="1" ht="16.5" spans="1:14">
      <c r="A280" s="33" t="s">
        <v>1391</v>
      </c>
      <c r="B280" s="24" t="s">
        <v>1391</v>
      </c>
      <c r="C280" s="24" t="s">
        <v>1391</v>
      </c>
      <c r="D280" s="24" t="s">
        <v>702</v>
      </c>
      <c r="E280" s="24" t="s">
        <v>702</v>
      </c>
      <c r="F280" s="24">
        <v>888888</v>
      </c>
      <c r="G280" s="24">
        <v>888888</v>
      </c>
      <c r="H280" s="24" t="s">
        <v>1392</v>
      </c>
      <c r="I280" s="24"/>
      <c r="J280" s="24"/>
      <c r="K280" s="24" t="s">
        <v>1393</v>
      </c>
      <c r="L280" s="24" t="s">
        <v>1154</v>
      </c>
      <c r="M280" s="24" t="s">
        <v>1077</v>
      </c>
      <c r="N280" s="34" t="s">
        <v>1394</v>
      </c>
    </row>
    <row r="281" s="9" customFormat="1" ht="16.5" spans="1:14">
      <c r="A281" s="33" t="s">
        <v>1395</v>
      </c>
      <c r="B281" s="28" t="s">
        <v>1395</v>
      </c>
      <c r="C281" s="28" t="s">
        <v>1395</v>
      </c>
      <c r="D281" s="28" t="s">
        <v>702</v>
      </c>
      <c r="E281" s="28" t="s">
        <v>702</v>
      </c>
      <c r="F281" s="28">
        <v>888888</v>
      </c>
      <c r="G281" s="28">
        <v>888888</v>
      </c>
      <c r="H281" s="28" t="s">
        <v>1396</v>
      </c>
      <c r="I281" s="28"/>
      <c r="J281" s="28"/>
      <c r="K281" s="28" t="s">
        <v>1393</v>
      </c>
      <c r="L281" s="28" t="s">
        <v>1154</v>
      </c>
      <c r="M281" s="28" t="s">
        <v>1077</v>
      </c>
      <c r="N281" s="35" t="s">
        <v>1397</v>
      </c>
    </row>
    <row r="282" s="9" customFormat="1" ht="16.5" spans="1:14">
      <c r="A282" s="33" t="s">
        <v>1398</v>
      </c>
      <c r="B282" s="24" t="s">
        <v>1398</v>
      </c>
      <c r="C282" s="24" t="s">
        <v>1398</v>
      </c>
      <c r="D282" s="24" t="s">
        <v>702</v>
      </c>
      <c r="E282" s="24" t="s">
        <v>702</v>
      </c>
      <c r="F282" s="24">
        <v>888888</v>
      </c>
      <c r="G282" s="24">
        <v>888888</v>
      </c>
      <c r="H282" s="24" t="s">
        <v>1399</v>
      </c>
      <c r="I282" s="24"/>
      <c r="J282" s="24"/>
      <c r="K282" s="24" t="s">
        <v>1400</v>
      </c>
      <c r="L282" s="24" t="s">
        <v>1401</v>
      </c>
      <c r="M282" s="24" t="s">
        <v>1077</v>
      </c>
      <c r="N282" s="34" t="s">
        <v>1402</v>
      </c>
    </row>
    <row r="283" s="9" customFormat="1" ht="16.5" spans="1:14">
      <c r="A283" s="33" t="s">
        <v>1403</v>
      </c>
      <c r="B283" s="28" t="s">
        <v>1403</v>
      </c>
      <c r="C283" s="28" t="s">
        <v>1403</v>
      </c>
      <c r="D283" s="28" t="s">
        <v>702</v>
      </c>
      <c r="E283" s="28" t="s">
        <v>702</v>
      </c>
      <c r="F283" s="28">
        <v>888888</v>
      </c>
      <c r="G283" s="28">
        <v>888888</v>
      </c>
      <c r="H283" s="28" t="s">
        <v>1404</v>
      </c>
      <c r="I283" s="28"/>
      <c r="J283" s="28"/>
      <c r="K283" s="28" t="s">
        <v>1405</v>
      </c>
      <c r="L283" s="28" t="s">
        <v>1112</v>
      </c>
      <c r="M283" s="28" t="s">
        <v>1077</v>
      </c>
      <c r="N283" s="35" t="s">
        <v>1406</v>
      </c>
    </row>
    <row r="284" s="9" customFormat="1" ht="16.5" spans="1:14">
      <c r="A284" s="33" t="s">
        <v>1407</v>
      </c>
      <c r="B284" s="24" t="s">
        <v>1407</v>
      </c>
      <c r="C284" s="24" t="s">
        <v>1407</v>
      </c>
      <c r="D284" s="24" t="s">
        <v>702</v>
      </c>
      <c r="E284" s="24" t="s">
        <v>702</v>
      </c>
      <c r="F284" s="24">
        <v>888888</v>
      </c>
      <c r="G284" s="24">
        <v>888888</v>
      </c>
      <c r="H284" s="24" t="s">
        <v>1408</v>
      </c>
      <c r="I284" s="24"/>
      <c r="J284" s="24"/>
      <c r="K284" s="24" t="s">
        <v>1409</v>
      </c>
      <c r="L284" s="24" t="s">
        <v>1112</v>
      </c>
      <c r="M284" s="24" t="s">
        <v>1077</v>
      </c>
      <c r="N284" s="34" t="s">
        <v>1410</v>
      </c>
    </row>
    <row r="285" s="9" customFormat="1" ht="16.5" spans="1:14">
      <c r="A285" s="33" t="s">
        <v>1411</v>
      </c>
      <c r="B285" s="28" t="s">
        <v>1411</v>
      </c>
      <c r="C285" s="28" t="s">
        <v>1411</v>
      </c>
      <c r="D285" s="28" t="s">
        <v>702</v>
      </c>
      <c r="E285" s="28" t="s">
        <v>702</v>
      </c>
      <c r="F285" s="28">
        <v>888888</v>
      </c>
      <c r="G285" s="28">
        <v>888888</v>
      </c>
      <c r="H285" s="28" t="s">
        <v>1412</v>
      </c>
      <c r="I285" s="28"/>
      <c r="J285" s="28"/>
      <c r="K285" s="28" t="s">
        <v>1413</v>
      </c>
      <c r="L285" s="28" t="s">
        <v>1112</v>
      </c>
      <c r="M285" s="28" t="s">
        <v>1077</v>
      </c>
      <c r="N285" s="35" t="s">
        <v>1414</v>
      </c>
    </row>
    <row r="286" s="9" customFormat="1" ht="16.5" spans="1:14">
      <c r="A286" s="33" t="s">
        <v>1415</v>
      </c>
      <c r="B286" s="24" t="s">
        <v>1415</v>
      </c>
      <c r="C286" s="24" t="s">
        <v>1415</v>
      </c>
      <c r="D286" s="24" t="s">
        <v>702</v>
      </c>
      <c r="E286" s="24" t="s">
        <v>702</v>
      </c>
      <c r="F286" s="24">
        <v>888888</v>
      </c>
      <c r="G286" s="24">
        <v>888888</v>
      </c>
      <c r="H286" s="24" t="s">
        <v>1416</v>
      </c>
      <c r="I286" s="24"/>
      <c r="J286" s="24"/>
      <c r="K286" s="24" t="s">
        <v>1413</v>
      </c>
      <c r="L286" s="24" t="s">
        <v>1112</v>
      </c>
      <c r="M286" s="24" t="s">
        <v>1077</v>
      </c>
      <c r="N286" s="34" t="s">
        <v>1417</v>
      </c>
    </row>
    <row r="287" s="9" customFormat="1" ht="16.5" spans="1:14">
      <c r="A287" s="33" t="s">
        <v>1418</v>
      </c>
      <c r="B287" s="28" t="s">
        <v>1418</v>
      </c>
      <c r="C287" s="28" t="s">
        <v>1418</v>
      </c>
      <c r="D287" s="28" t="s">
        <v>702</v>
      </c>
      <c r="E287" s="28" t="s">
        <v>702</v>
      </c>
      <c r="F287" s="28">
        <v>888888</v>
      </c>
      <c r="G287" s="28">
        <v>888888</v>
      </c>
      <c r="H287" s="28" t="s">
        <v>1419</v>
      </c>
      <c r="I287" s="28"/>
      <c r="J287" s="28"/>
      <c r="K287" s="28" t="s">
        <v>1420</v>
      </c>
      <c r="L287" s="28" t="s">
        <v>1112</v>
      </c>
      <c r="M287" s="28" t="s">
        <v>1077</v>
      </c>
      <c r="N287" s="35" t="s">
        <v>1421</v>
      </c>
    </row>
    <row r="288" s="9" customFormat="1" ht="16.5" spans="1:14">
      <c r="A288" s="33" t="s">
        <v>1422</v>
      </c>
      <c r="B288" s="24" t="s">
        <v>1422</v>
      </c>
      <c r="C288" s="24" t="s">
        <v>1422</v>
      </c>
      <c r="D288" s="24" t="s">
        <v>702</v>
      </c>
      <c r="E288" s="24" t="s">
        <v>702</v>
      </c>
      <c r="F288" s="24">
        <v>888888</v>
      </c>
      <c r="G288" s="24">
        <v>888888</v>
      </c>
      <c r="H288" s="24" t="s">
        <v>1423</v>
      </c>
      <c r="I288" s="24" t="s">
        <v>1424</v>
      </c>
      <c r="J288" s="24"/>
      <c r="K288" s="24" t="s">
        <v>1425</v>
      </c>
      <c r="L288" s="24" t="s">
        <v>1112</v>
      </c>
      <c r="M288" s="24" t="s">
        <v>1077</v>
      </c>
      <c r="N288" s="34" t="s">
        <v>1426</v>
      </c>
    </row>
    <row r="289" s="9" customFormat="1" ht="16.5" spans="1:14">
      <c r="A289" s="33" t="s">
        <v>1427</v>
      </c>
      <c r="B289" s="28" t="s">
        <v>1427</v>
      </c>
      <c r="C289" s="28" t="s">
        <v>1427</v>
      </c>
      <c r="D289" s="28" t="s">
        <v>702</v>
      </c>
      <c r="E289" s="28" t="s">
        <v>702</v>
      </c>
      <c r="F289" s="28">
        <v>888888</v>
      </c>
      <c r="G289" s="28">
        <v>888888</v>
      </c>
      <c r="H289" s="28" t="s">
        <v>1428</v>
      </c>
      <c r="I289" s="28"/>
      <c r="J289" s="28"/>
      <c r="K289" s="28" t="s">
        <v>1429</v>
      </c>
      <c r="L289" s="28" t="s">
        <v>1112</v>
      </c>
      <c r="M289" s="28" t="s">
        <v>1077</v>
      </c>
      <c r="N289" s="35" t="s">
        <v>1430</v>
      </c>
    </row>
    <row r="290" s="9" customFormat="1" ht="16.5" spans="1:14">
      <c r="A290" s="33" t="s">
        <v>1431</v>
      </c>
      <c r="B290" s="24" t="s">
        <v>1431</v>
      </c>
      <c r="C290" s="24" t="s">
        <v>1431</v>
      </c>
      <c r="D290" s="24" t="s">
        <v>702</v>
      </c>
      <c r="E290" s="24" t="s">
        <v>702</v>
      </c>
      <c r="F290" s="24">
        <v>888888</v>
      </c>
      <c r="G290" s="24">
        <v>888888</v>
      </c>
      <c r="H290" s="24" t="s">
        <v>1432</v>
      </c>
      <c r="I290" s="24"/>
      <c r="J290" s="24"/>
      <c r="K290" s="24" t="s">
        <v>1158</v>
      </c>
      <c r="L290" s="24" t="s">
        <v>1433</v>
      </c>
      <c r="M290" s="24" t="s">
        <v>1077</v>
      </c>
      <c r="N290" s="34" t="s">
        <v>1434</v>
      </c>
    </row>
    <row r="291" s="9" customFormat="1" ht="16.5" spans="1:14">
      <c r="A291" s="33" t="s">
        <v>1435</v>
      </c>
      <c r="B291" s="28" t="s">
        <v>1435</v>
      </c>
      <c r="C291" s="28" t="s">
        <v>1435</v>
      </c>
      <c r="D291" s="28" t="s">
        <v>702</v>
      </c>
      <c r="E291" s="28" t="s">
        <v>702</v>
      </c>
      <c r="F291" s="28">
        <v>888888</v>
      </c>
      <c r="G291" s="28">
        <v>888888</v>
      </c>
      <c r="H291" s="28" t="s">
        <v>1436</v>
      </c>
      <c r="I291" s="28"/>
      <c r="J291" s="28"/>
      <c r="K291" s="28" t="s">
        <v>1437</v>
      </c>
      <c r="L291" s="28" t="s">
        <v>1438</v>
      </c>
      <c r="M291" s="28" t="s">
        <v>1077</v>
      </c>
      <c r="N291" s="35" t="s">
        <v>1439</v>
      </c>
    </row>
    <row r="292" s="9" customFormat="1" ht="16.5" spans="1:14">
      <c r="A292" s="33" t="s">
        <v>1440</v>
      </c>
      <c r="B292" s="24" t="s">
        <v>1440</v>
      </c>
      <c r="C292" s="24" t="s">
        <v>1440</v>
      </c>
      <c r="D292" s="24" t="s">
        <v>702</v>
      </c>
      <c r="E292" s="24" t="s">
        <v>702</v>
      </c>
      <c r="F292" s="24">
        <v>888888</v>
      </c>
      <c r="G292" s="24">
        <v>888888</v>
      </c>
      <c r="H292" s="24" t="s">
        <v>1441</v>
      </c>
      <c r="I292" s="24"/>
      <c r="J292" s="24"/>
      <c r="K292" s="24" t="s">
        <v>1442</v>
      </c>
      <c r="L292" s="24" t="s">
        <v>1102</v>
      </c>
      <c r="M292" s="24" t="s">
        <v>1077</v>
      </c>
      <c r="N292" s="34" t="s">
        <v>1443</v>
      </c>
    </row>
    <row r="293" s="9" customFormat="1" ht="16.5" spans="1:14">
      <c r="A293" s="33" t="s">
        <v>1444</v>
      </c>
      <c r="B293" s="28" t="s">
        <v>1444</v>
      </c>
      <c r="C293" s="28" t="s">
        <v>1444</v>
      </c>
      <c r="D293" s="28" t="s">
        <v>702</v>
      </c>
      <c r="E293" s="28" t="s">
        <v>702</v>
      </c>
      <c r="F293" s="28">
        <v>888888</v>
      </c>
      <c r="G293" s="28">
        <v>888888</v>
      </c>
      <c r="H293" s="28" t="s">
        <v>1445</v>
      </c>
      <c r="I293" s="28"/>
      <c r="J293" s="28"/>
      <c r="K293" s="28" t="s">
        <v>1446</v>
      </c>
      <c r="L293" s="28" t="s">
        <v>1102</v>
      </c>
      <c r="M293" s="28" t="s">
        <v>1077</v>
      </c>
      <c r="N293" s="35" t="s">
        <v>1447</v>
      </c>
    </row>
    <row r="294" s="9" customFormat="1" ht="16.5" spans="1:14">
      <c r="A294" s="33" t="s">
        <v>1448</v>
      </c>
      <c r="B294" s="24" t="s">
        <v>1448</v>
      </c>
      <c r="C294" s="24" t="s">
        <v>1448</v>
      </c>
      <c r="D294" s="24" t="s">
        <v>702</v>
      </c>
      <c r="E294" s="24" t="s">
        <v>702</v>
      </c>
      <c r="F294" s="24">
        <v>888888</v>
      </c>
      <c r="G294" s="24">
        <v>888888</v>
      </c>
      <c r="H294" s="24" t="s">
        <v>1449</v>
      </c>
      <c r="I294" s="24"/>
      <c r="J294" s="24"/>
      <c r="K294" s="24" t="s">
        <v>1450</v>
      </c>
      <c r="L294" s="24" t="s">
        <v>1092</v>
      </c>
      <c r="M294" s="24" t="s">
        <v>1077</v>
      </c>
      <c r="N294" s="34" t="s">
        <v>1451</v>
      </c>
    </row>
    <row r="295" s="9" customFormat="1" ht="16.5" spans="1:14">
      <c r="A295" s="33" t="s">
        <v>1452</v>
      </c>
      <c r="B295" s="28" t="s">
        <v>1452</v>
      </c>
      <c r="C295" s="28" t="s">
        <v>1452</v>
      </c>
      <c r="D295" s="28" t="s">
        <v>702</v>
      </c>
      <c r="E295" s="28" t="s">
        <v>702</v>
      </c>
      <c r="F295" s="28">
        <v>888888</v>
      </c>
      <c r="G295" s="28">
        <v>888888</v>
      </c>
      <c r="H295" s="28" t="s">
        <v>1453</v>
      </c>
      <c r="I295" s="28"/>
      <c r="J295" s="28"/>
      <c r="K295" s="28" t="s">
        <v>1091</v>
      </c>
      <c r="L295" s="28" t="s">
        <v>1092</v>
      </c>
      <c r="M295" s="28" t="s">
        <v>1077</v>
      </c>
      <c r="N295" s="35" t="s">
        <v>1454</v>
      </c>
    </row>
    <row r="296" s="9" customFormat="1" ht="16.5" spans="1:14">
      <c r="A296" s="33" t="s">
        <v>1455</v>
      </c>
      <c r="B296" s="24" t="s">
        <v>1455</v>
      </c>
      <c r="C296" s="24" t="s">
        <v>1455</v>
      </c>
      <c r="D296" s="24" t="s">
        <v>702</v>
      </c>
      <c r="E296" s="24" t="s">
        <v>702</v>
      </c>
      <c r="F296" s="24">
        <v>888888</v>
      </c>
      <c r="G296" s="24">
        <v>888888</v>
      </c>
      <c r="H296" s="24" t="s">
        <v>1456</v>
      </c>
      <c r="I296" s="24"/>
      <c r="J296" s="24"/>
      <c r="K296" s="24" t="s">
        <v>1457</v>
      </c>
      <c r="L296" s="24" t="s">
        <v>1092</v>
      </c>
      <c r="M296" s="24" t="s">
        <v>1077</v>
      </c>
      <c r="N296" s="34" t="s">
        <v>1458</v>
      </c>
    </row>
    <row r="297" s="9" customFormat="1" ht="16.5" spans="1:14">
      <c r="A297" s="33" t="s">
        <v>1459</v>
      </c>
      <c r="B297" s="28" t="s">
        <v>1459</v>
      </c>
      <c r="C297" s="28" t="s">
        <v>1459</v>
      </c>
      <c r="D297" s="28" t="s">
        <v>702</v>
      </c>
      <c r="E297" s="28" t="s">
        <v>702</v>
      </c>
      <c r="F297" s="28">
        <v>888888</v>
      </c>
      <c r="G297" s="28">
        <v>888888</v>
      </c>
      <c r="H297" s="28" t="s">
        <v>1460</v>
      </c>
      <c r="I297" s="28"/>
      <c r="J297" s="28"/>
      <c r="K297" s="28" t="s">
        <v>1461</v>
      </c>
      <c r="L297" s="28" t="s">
        <v>993</v>
      </c>
      <c r="M297" s="28" t="s">
        <v>1077</v>
      </c>
      <c r="N297" s="35" t="s">
        <v>1462</v>
      </c>
    </row>
    <row r="298" s="9" customFormat="1" ht="16.5" spans="1:14">
      <c r="A298" s="33" t="s">
        <v>1463</v>
      </c>
      <c r="B298" s="24" t="s">
        <v>1463</v>
      </c>
      <c r="C298" s="24" t="s">
        <v>1463</v>
      </c>
      <c r="D298" s="24" t="s">
        <v>702</v>
      </c>
      <c r="E298" s="24" t="s">
        <v>702</v>
      </c>
      <c r="F298" s="24">
        <v>888888</v>
      </c>
      <c r="G298" s="24">
        <v>888888</v>
      </c>
      <c r="H298" s="24" t="s">
        <v>1464</v>
      </c>
      <c r="I298" s="24"/>
      <c r="J298" s="24"/>
      <c r="K298" s="24" t="s">
        <v>1465</v>
      </c>
      <c r="L298" s="24" t="s">
        <v>993</v>
      </c>
      <c r="M298" s="24" t="s">
        <v>1077</v>
      </c>
      <c r="N298" s="34" t="s">
        <v>1466</v>
      </c>
    </row>
    <row r="299" s="9" customFormat="1" ht="16.5" spans="1:14">
      <c r="A299" s="33" t="s">
        <v>1467</v>
      </c>
      <c r="B299" s="28" t="s">
        <v>1467</v>
      </c>
      <c r="C299" s="28" t="s">
        <v>1467</v>
      </c>
      <c r="D299" s="28" t="s">
        <v>702</v>
      </c>
      <c r="E299" s="28" t="s">
        <v>702</v>
      </c>
      <c r="F299" s="28">
        <v>888888</v>
      </c>
      <c r="G299" s="28">
        <v>888888</v>
      </c>
      <c r="H299" s="28" t="s">
        <v>1468</v>
      </c>
      <c r="I299" s="28"/>
      <c r="J299" s="28"/>
      <c r="K299" s="28" t="s">
        <v>1469</v>
      </c>
      <c r="L299" s="28" t="s">
        <v>993</v>
      </c>
      <c r="M299" s="28" t="s">
        <v>1077</v>
      </c>
      <c r="N299" s="35" t="s">
        <v>1470</v>
      </c>
    </row>
    <row r="300" s="9" customFormat="1" ht="16.5" spans="1:14">
      <c r="A300" s="33" t="s">
        <v>1471</v>
      </c>
      <c r="B300" s="24" t="s">
        <v>1471</v>
      </c>
      <c r="C300" s="24" t="s">
        <v>1471</v>
      </c>
      <c r="D300" s="24" t="s">
        <v>702</v>
      </c>
      <c r="E300" s="24" t="s">
        <v>702</v>
      </c>
      <c r="F300" s="24">
        <v>888888</v>
      </c>
      <c r="G300" s="24">
        <v>888888</v>
      </c>
      <c r="H300" s="24" t="s">
        <v>1472</v>
      </c>
      <c r="I300" s="24"/>
      <c r="J300" s="24"/>
      <c r="K300" s="24" t="s">
        <v>1473</v>
      </c>
      <c r="L300" s="24" t="s">
        <v>993</v>
      </c>
      <c r="M300" s="24" t="s">
        <v>1077</v>
      </c>
      <c r="N300" s="34" t="s">
        <v>1474</v>
      </c>
    </row>
    <row r="301" s="9" customFormat="1" ht="16.5" spans="1:14">
      <c r="A301" s="33" t="s">
        <v>1475</v>
      </c>
      <c r="B301" s="28" t="s">
        <v>1475</v>
      </c>
      <c r="C301" s="28" t="s">
        <v>1475</v>
      </c>
      <c r="D301" s="28" t="s">
        <v>702</v>
      </c>
      <c r="E301" s="28" t="s">
        <v>702</v>
      </c>
      <c r="F301" s="28">
        <v>888888</v>
      </c>
      <c r="G301" s="28">
        <v>888888</v>
      </c>
      <c r="H301" s="28" t="s">
        <v>1476</v>
      </c>
      <c r="I301" s="28"/>
      <c r="J301" s="28"/>
      <c r="K301" s="28" t="s">
        <v>1477</v>
      </c>
      <c r="L301" s="28" t="s">
        <v>993</v>
      </c>
      <c r="M301" s="28" t="s">
        <v>1077</v>
      </c>
      <c r="N301" s="35" t="s">
        <v>1478</v>
      </c>
    </row>
    <row r="302" s="9" customFormat="1" ht="16.5" spans="1:14">
      <c r="A302" s="33" t="s">
        <v>1479</v>
      </c>
      <c r="B302" s="24" t="s">
        <v>1479</v>
      </c>
      <c r="C302" s="24" t="s">
        <v>1479</v>
      </c>
      <c r="D302" s="24" t="s">
        <v>702</v>
      </c>
      <c r="E302" s="24" t="s">
        <v>702</v>
      </c>
      <c r="F302" s="24">
        <v>888888</v>
      </c>
      <c r="G302" s="24">
        <v>888888</v>
      </c>
      <c r="H302" s="24" t="s">
        <v>1480</v>
      </c>
      <c r="I302" s="24"/>
      <c r="J302" s="24"/>
      <c r="K302" s="24" t="s">
        <v>1477</v>
      </c>
      <c r="L302" s="24" t="s">
        <v>993</v>
      </c>
      <c r="M302" s="24" t="s">
        <v>1077</v>
      </c>
      <c r="N302" s="34" t="s">
        <v>1481</v>
      </c>
    </row>
    <row r="303" s="9" customFormat="1" ht="16.5" spans="1:14">
      <c r="A303" s="33" t="s">
        <v>1482</v>
      </c>
      <c r="B303" s="28" t="s">
        <v>1482</v>
      </c>
      <c r="C303" s="28" t="s">
        <v>1482</v>
      </c>
      <c r="D303" s="28" t="s">
        <v>702</v>
      </c>
      <c r="E303" s="28" t="s">
        <v>702</v>
      </c>
      <c r="F303" s="28">
        <v>888888</v>
      </c>
      <c r="G303" s="28">
        <v>888888</v>
      </c>
      <c r="H303" s="28" t="s">
        <v>1483</v>
      </c>
      <c r="I303" s="28"/>
      <c r="J303" s="28"/>
      <c r="K303" s="28" t="s">
        <v>1484</v>
      </c>
      <c r="L303" s="28" t="s">
        <v>993</v>
      </c>
      <c r="M303" s="28" t="s">
        <v>1077</v>
      </c>
      <c r="N303" s="35" t="s">
        <v>1485</v>
      </c>
    </row>
    <row r="304" s="9" customFormat="1" ht="16.5" spans="1:14">
      <c r="A304" s="33" t="s">
        <v>1486</v>
      </c>
      <c r="B304" s="24" t="s">
        <v>1486</v>
      </c>
      <c r="C304" s="24" t="s">
        <v>1486</v>
      </c>
      <c r="D304" s="24" t="s">
        <v>702</v>
      </c>
      <c r="E304" s="24" t="s">
        <v>702</v>
      </c>
      <c r="F304" s="24">
        <v>888888</v>
      </c>
      <c r="G304" s="24">
        <v>888888</v>
      </c>
      <c r="H304" s="24" t="s">
        <v>1487</v>
      </c>
      <c r="I304" s="24"/>
      <c r="J304" s="24"/>
      <c r="K304" s="24" t="s">
        <v>1488</v>
      </c>
      <c r="L304" s="24" t="s">
        <v>993</v>
      </c>
      <c r="M304" s="24" t="s">
        <v>1077</v>
      </c>
      <c r="N304" s="34" t="s">
        <v>1489</v>
      </c>
    </row>
    <row r="305" s="9" customFormat="1" ht="16.5" spans="1:14">
      <c r="A305" s="33" t="s">
        <v>1490</v>
      </c>
      <c r="B305" s="28" t="s">
        <v>1490</v>
      </c>
      <c r="C305" s="28" t="s">
        <v>1490</v>
      </c>
      <c r="D305" s="28" t="s">
        <v>702</v>
      </c>
      <c r="E305" s="28" t="s">
        <v>702</v>
      </c>
      <c r="F305" s="28">
        <v>888888</v>
      </c>
      <c r="G305" s="28">
        <v>888888</v>
      </c>
      <c r="H305" s="28" t="s">
        <v>1491</v>
      </c>
      <c r="I305" s="28"/>
      <c r="J305" s="28"/>
      <c r="K305" s="28" t="s">
        <v>1492</v>
      </c>
      <c r="L305" s="28" t="s">
        <v>993</v>
      </c>
      <c r="M305" s="28" t="s">
        <v>1077</v>
      </c>
      <c r="N305" s="35" t="s">
        <v>1493</v>
      </c>
    </row>
    <row r="306" s="9" customFormat="1" ht="16.5" spans="1:14">
      <c r="A306" s="33" t="s">
        <v>1494</v>
      </c>
      <c r="B306" s="24" t="s">
        <v>1494</v>
      </c>
      <c r="C306" s="24" t="s">
        <v>1494</v>
      </c>
      <c r="D306" s="24" t="s">
        <v>702</v>
      </c>
      <c r="E306" s="24" t="s">
        <v>702</v>
      </c>
      <c r="F306" s="24">
        <v>888888</v>
      </c>
      <c r="G306" s="24">
        <v>888888</v>
      </c>
      <c r="H306" s="24" t="s">
        <v>1495</v>
      </c>
      <c r="I306" s="24"/>
      <c r="J306" s="24"/>
      <c r="K306" s="24" t="s">
        <v>1496</v>
      </c>
      <c r="L306" s="24" t="s">
        <v>993</v>
      </c>
      <c r="M306" s="24" t="s">
        <v>1077</v>
      </c>
      <c r="N306" s="34" t="s">
        <v>1497</v>
      </c>
    </row>
    <row r="307" s="9" customFormat="1" ht="16.5" spans="1:14">
      <c r="A307" s="33" t="s">
        <v>1498</v>
      </c>
      <c r="B307" s="28" t="s">
        <v>1498</v>
      </c>
      <c r="C307" s="28" t="s">
        <v>1498</v>
      </c>
      <c r="D307" s="28" t="s">
        <v>702</v>
      </c>
      <c r="E307" s="28" t="s">
        <v>702</v>
      </c>
      <c r="F307" s="28">
        <v>888888</v>
      </c>
      <c r="G307" s="28">
        <v>888888</v>
      </c>
      <c r="H307" s="28" t="s">
        <v>1499</v>
      </c>
      <c r="I307" s="28"/>
      <c r="J307" s="28"/>
      <c r="K307" s="28" t="s">
        <v>1500</v>
      </c>
      <c r="L307" s="28" t="s">
        <v>993</v>
      </c>
      <c r="M307" s="28" t="s">
        <v>1077</v>
      </c>
      <c r="N307" s="35" t="s">
        <v>1501</v>
      </c>
    </row>
    <row r="308" s="9" customFormat="1" ht="16.5" spans="1:14">
      <c r="A308" s="33" t="s">
        <v>1502</v>
      </c>
      <c r="B308" s="24" t="s">
        <v>1502</v>
      </c>
      <c r="C308" s="24" t="s">
        <v>1502</v>
      </c>
      <c r="D308" s="24" t="s">
        <v>702</v>
      </c>
      <c r="E308" s="24" t="s">
        <v>702</v>
      </c>
      <c r="F308" s="24">
        <v>888888</v>
      </c>
      <c r="G308" s="24">
        <v>888888</v>
      </c>
      <c r="H308" s="24" t="s">
        <v>1503</v>
      </c>
      <c r="I308" s="24"/>
      <c r="J308" s="24"/>
      <c r="K308" s="24" t="s">
        <v>1504</v>
      </c>
      <c r="L308" s="24" t="s">
        <v>993</v>
      </c>
      <c r="M308" s="24" t="s">
        <v>1077</v>
      </c>
      <c r="N308" s="34" t="s">
        <v>1505</v>
      </c>
    </row>
    <row r="309" s="9" customFormat="1" ht="16.5" spans="1:14">
      <c r="A309" s="33" t="s">
        <v>1506</v>
      </c>
      <c r="B309" s="28" t="s">
        <v>1506</v>
      </c>
      <c r="C309" s="28" t="s">
        <v>1506</v>
      </c>
      <c r="D309" s="28" t="s">
        <v>702</v>
      </c>
      <c r="E309" s="28" t="s">
        <v>702</v>
      </c>
      <c r="F309" s="28">
        <v>888888</v>
      </c>
      <c r="G309" s="28">
        <v>888888</v>
      </c>
      <c r="H309" s="28" t="s">
        <v>1507</v>
      </c>
      <c r="I309" s="28"/>
      <c r="J309" s="28"/>
      <c r="K309" s="28" t="s">
        <v>1508</v>
      </c>
      <c r="L309" s="28" t="s">
        <v>993</v>
      </c>
      <c r="M309" s="28" t="s">
        <v>1077</v>
      </c>
      <c r="N309" s="35" t="s">
        <v>1509</v>
      </c>
    </row>
    <row r="310" s="9" customFormat="1" ht="16.5" spans="1:14">
      <c r="A310" s="33" t="s">
        <v>1510</v>
      </c>
      <c r="B310" s="24" t="s">
        <v>1510</v>
      </c>
      <c r="C310" s="24" t="s">
        <v>1510</v>
      </c>
      <c r="D310" s="24" t="s">
        <v>702</v>
      </c>
      <c r="E310" s="24" t="s">
        <v>702</v>
      </c>
      <c r="F310" s="24">
        <v>888888</v>
      </c>
      <c r="G310" s="24">
        <v>888888</v>
      </c>
      <c r="H310" s="24" t="s">
        <v>1511</v>
      </c>
      <c r="I310" s="24"/>
      <c r="J310" s="24"/>
      <c r="K310" s="24" t="s">
        <v>1512</v>
      </c>
      <c r="L310" s="24" t="s">
        <v>1513</v>
      </c>
      <c r="M310" s="24" t="s">
        <v>1077</v>
      </c>
      <c r="N310" s="34" t="s">
        <v>1514</v>
      </c>
    </row>
    <row r="311" s="9" customFormat="1" ht="16.5" spans="1:14">
      <c r="A311" s="33" t="s">
        <v>1515</v>
      </c>
      <c r="B311" s="28" t="s">
        <v>1515</v>
      </c>
      <c r="C311" s="28" t="s">
        <v>1515</v>
      </c>
      <c r="D311" s="28" t="s">
        <v>702</v>
      </c>
      <c r="E311" s="28" t="s">
        <v>702</v>
      </c>
      <c r="F311" s="28">
        <v>888888</v>
      </c>
      <c r="G311" s="28">
        <v>888888</v>
      </c>
      <c r="H311" s="28" t="s">
        <v>1516</v>
      </c>
      <c r="I311" s="28"/>
      <c r="J311" s="28"/>
      <c r="K311" s="28" t="s">
        <v>1517</v>
      </c>
      <c r="L311" s="28" t="s">
        <v>1513</v>
      </c>
      <c r="M311" s="28" t="s">
        <v>1077</v>
      </c>
      <c r="N311" s="35" t="s">
        <v>1518</v>
      </c>
    </row>
    <row r="312" s="9" customFormat="1" ht="16.5" spans="1:14">
      <c r="A312" s="33" t="s">
        <v>1519</v>
      </c>
      <c r="B312" s="24" t="s">
        <v>1519</v>
      </c>
      <c r="C312" s="24" t="s">
        <v>1519</v>
      </c>
      <c r="D312" s="24" t="s">
        <v>702</v>
      </c>
      <c r="E312" s="24" t="s">
        <v>702</v>
      </c>
      <c r="F312" s="24">
        <v>888888</v>
      </c>
      <c r="G312" s="24">
        <v>888888</v>
      </c>
      <c r="H312" s="24" t="s">
        <v>1520</v>
      </c>
      <c r="I312" s="24"/>
      <c r="J312" s="24"/>
      <c r="K312" s="24" t="s">
        <v>1413</v>
      </c>
      <c r="L312" s="24" t="s">
        <v>1112</v>
      </c>
      <c r="M312" s="24" t="s">
        <v>1077</v>
      </c>
      <c r="N312" s="34" t="s">
        <v>1521</v>
      </c>
    </row>
    <row r="313" s="9" customFormat="1" ht="16.5" spans="1:14">
      <c r="A313" s="33" t="s">
        <v>1522</v>
      </c>
      <c r="B313" s="28" t="s">
        <v>1522</v>
      </c>
      <c r="C313" s="28" t="s">
        <v>1522</v>
      </c>
      <c r="D313" s="28" t="s">
        <v>702</v>
      </c>
      <c r="E313" s="28" t="s">
        <v>702</v>
      </c>
      <c r="F313" s="28">
        <v>888888</v>
      </c>
      <c r="G313" s="28">
        <v>888888</v>
      </c>
      <c r="H313" s="28" t="s">
        <v>1523</v>
      </c>
      <c r="I313" s="28"/>
      <c r="J313" s="28"/>
      <c r="K313" s="28" t="s">
        <v>1524</v>
      </c>
      <c r="L313" s="28" t="s">
        <v>1193</v>
      </c>
      <c r="M313" s="28" t="s">
        <v>1077</v>
      </c>
      <c r="N313" s="35" t="s">
        <v>1525</v>
      </c>
    </row>
    <row r="314" s="9" customFormat="1" ht="16.5" spans="1:14">
      <c r="A314" s="33" t="s">
        <v>1526</v>
      </c>
      <c r="B314" s="24" t="s">
        <v>1526</v>
      </c>
      <c r="C314" s="24" t="s">
        <v>1526</v>
      </c>
      <c r="D314" s="24" t="s">
        <v>702</v>
      </c>
      <c r="E314" s="24" t="s">
        <v>702</v>
      </c>
      <c r="F314" s="24">
        <v>888888</v>
      </c>
      <c r="G314" s="24">
        <v>888888</v>
      </c>
      <c r="H314" s="24" t="s">
        <v>1527</v>
      </c>
      <c r="I314" s="24"/>
      <c r="J314" s="24"/>
      <c r="K314" s="24" t="s">
        <v>1528</v>
      </c>
      <c r="L314" s="24" t="s">
        <v>1193</v>
      </c>
      <c r="M314" s="24" t="s">
        <v>1077</v>
      </c>
      <c r="N314" s="34" t="s">
        <v>1529</v>
      </c>
    </row>
    <row r="315" s="9" customFormat="1" ht="16.5" spans="1:14">
      <c r="A315" s="33" t="s">
        <v>1530</v>
      </c>
      <c r="B315" s="28" t="s">
        <v>1530</v>
      </c>
      <c r="C315" s="28" t="s">
        <v>1530</v>
      </c>
      <c r="D315" s="28" t="s">
        <v>702</v>
      </c>
      <c r="E315" s="28" t="s">
        <v>702</v>
      </c>
      <c r="F315" s="28">
        <v>888888</v>
      </c>
      <c r="G315" s="28">
        <v>888888</v>
      </c>
      <c r="H315" s="28" t="s">
        <v>1531</v>
      </c>
      <c r="I315" s="28"/>
      <c r="J315" s="28"/>
      <c r="K315" s="28" t="s">
        <v>1532</v>
      </c>
      <c r="L315" s="28" t="s">
        <v>1193</v>
      </c>
      <c r="M315" s="28" t="s">
        <v>1077</v>
      </c>
      <c r="N315" s="35" t="s">
        <v>1533</v>
      </c>
    </row>
    <row r="316" s="9" customFormat="1" ht="16.5" spans="1:14">
      <c r="A316" s="33" t="s">
        <v>1534</v>
      </c>
      <c r="B316" s="24" t="s">
        <v>1534</v>
      </c>
      <c r="C316" s="24" t="s">
        <v>1534</v>
      </c>
      <c r="D316" s="24" t="s">
        <v>702</v>
      </c>
      <c r="E316" s="24" t="s">
        <v>702</v>
      </c>
      <c r="F316" s="24">
        <v>888888</v>
      </c>
      <c r="G316" s="24">
        <v>888888</v>
      </c>
      <c r="H316" s="24" t="s">
        <v>1535</v>
      </c>
      <c r="I316" s="24"/>
      <c r="J316" s="24"/>
      <c r="K316" s="24" t="s">
        <v>1536</v>
      </c>
      <c r="L316" s="24" t="s">
        <v>1082</v>
      </c>
      <c r="M316" s="24" t="s">
        <v>1077</v>
      </c>
      <c r="N316" s="34" t="s">
        <v>1537</v>
      </c>
    </row>
    <row r="317" s="9" customFormat="1" ht="16.5" spans="1:14">
      <c r="A317" s="33" t="s">
        <v>1538</v>
      </c>
      <c r="B317" s="28" t="s">
        <v>1538</v>
      </c>
      <c r="C317" s="28" t="s">
        <v>1538</v>
      </c>
      <c r="D317" s="28" t="s">
        <v>702</v>
      </c>
      <c r="E317" s="28" t="s">
        <v>702</v>
      </c>
      <c r="F317" s="28">
        <v>888888</v>
      </c>
      <c r="G317" s="28">
        <v>888888</v>
      </c>
      <c r="H317" s="28" t="s">
        <v>1539</v>
      </c>
      <c r="I317" s="28"/>
      <c r="J317" s="28"/>
      <c r="K317" s="28" t="s">
        <v>1536</v>
      </c>
      <c r="L317" s="28" t="s">
        <v>1082</v>
      </c>
      <c r="M317" s="28" t="s">
        <v>1077</v>
      </c>
      <c r="N317" s="35" t="s">
        <v>1540</v>
      </c>
    </row>
    <row r="318" s="9" customFormat="1" ht="16.5" spans="1:14">
      <c r="A318" s="33" t="s">
        <v>1541</v>
      </c>
      <c r="B318" s="24" t="s">
        <v>1541</v>
      </c>
      <c r="C318" s="24" t="s">
        <v>1541</v>
      </c>
      <c r="D318" s="24" t="s">
        <v>702</v>
      </c>
      <c r="E318" s="24" t="s">
        <v>702</v>
      </c>
      <c r="F318" s="24">
        <v>888888</v>
      </c>
      <c r="G318" s="24">
        <v>888888</v>
      </c>
      <c r="H318" s="24" t="s">
        <v>1542</v>
      </c>
      <c r="I318" s="24"/>
      <c r="J318" s="24"/>
      <c r="K318" s="24" t="s">
        <v>1543</v>
      </c>
      <c r="L318" s="24" t="s">
        <v>1131</v>
      </c>
      <c r="M318" s="24" t="s">
        <v>1077</v>
      </c>
      <c r="N318" s="34" t="s">
        <v>1544</v>
      </c>
    </row>
    <row r="319" s="9" customFormat="1" ht="16.5" spans="1:14">
      <c r="A319" s="33" t="s">
        <v>1545</v>
      </c>
      <c r="B319" s="28" t="s">
        <v>1545</v>
      </c>
      <c r="C319" s="28" t="s">
        <v>1545</v>
      </c>
      <c r="D319" s="28" t="s">
        <v>702</v>
      </c>
      <c r="E319" s="28" t="s">
        <v>702</v>
      </c>
      <c r="F319" s="28">
        <v>888888</v>
      </c>
      <c r="G319" s="28">
        <v>888888</v>
      </c>
      <c r="H319" s="28" t="s">
        <v>1546</v>
      </c>
      <c r="I319" s="28"/>
      <c r="J319" s="28"/>
      <c r="K319" s="28" t="s">
        <v>1547</v>
      </c>
      <c r="L319" s="28" t="s">
        <v>1131</v>
      </c>
      <c r="M319" s="28" t="s">
        <v>1077</v>
      </c>
      <c r="N319" s="35" t="s">
        <v>1548</v>
      </c>
    </row>
    <row r="320" s="9" customFormat="1" ht="16.5" spans="1:14">
      <c r="A320" s="33" t="s">
        <v>1549</v>
      </c>
      <c r="B320" s="24" t="s">
        <v>1549</v>
      </c>
      <c r="C320" s="24" t="s">
        <v>1549</v>
      </c>
      <c r="D320" s="24" t="s">
        <v>702</v>
      </c>
      <c r="E320" s="24" t="s">
        <v>702</v>
      </c>
      <c r="F320" s="24">
        <v>888888</v>
      </c>
      <c r="G320" s="24">
        <v>888888</v>
      </c>
      <c r="H320" s="24" t="s">
        <v>1550</v>
      </c>
      <c r="I320" s="24"/>
      <c r="J320" s="24"/>
      <c r="K320" s="24" t="s">
        <v>1551</v>
      </c>
      <c r="L320" s="24" t="s">
        <v>1344</v>
      </c>
      <c r="M320" s="24" t="s">
        <v>1077</v>
      </c>
      <c r="N320" s="34" t="s">
        <v>1552</v>
      </c>
    </row>
    <row r="321" s="9" customFormat="1" ht="16.5" spans="1:14">
      <c r="A321" s="33" t="s">
        <v>1553</v>
      </c>
      <c r="B321" s="28" t="s">
        <v>1553</v>
      </c>
      <c r="C321" s="28" t="s">
        <v>1553</v>
      </c>
      <c r="D321" s="28" t="s">
        <v>702</v>
      </c>
      <c r="E321" s="28" t="s">
        <v>702</v>
      </c>
      <c r="F321" s="28">
        <v>888888</v>
      </c>
      <c r="G321" s="28">
        <v>888888</v>
      </c>
      <c r="H321" s="28" t="s">
        <v>1554</v>
      </c>
      <c r="I321" s="28"/>
      <c r="J321" s="28"/>
      <c r="K321" s="28" t="s">
        <v>1551</v>
      </c>
      <c r="L321" s="28" t="s">
        <v>1344</v>
      </c>
      <c r="M321" s="28" t="s">
        <v>1077</v>
      </c>
      <c r="N321" s="35" t="s">
        <v>1555</v>
      </c>
    </row>
    <row r="322" s="9" customFormat="1" ht="16.5" spans="1:14">
      <c r="A322" s="33" t="s">
        <v>1556</v>
      </c>
      <c r="B322" s="24" t="s">
        <v>1556</v>
      </c>
      <c r="C322" s="24" t="s">
        <v>1556</v>
      </c>
      <c r="D322" s="24" t="s">
        <v>702</v>
      </c>
      <c r="E322" s="24" t="s">
        <v>702</v>
      </c>
      <c r="F322" s="24">
        <v>888888</v>
      </c>
      <c r="G322" s="24">
        <v>888888</v>
      </c>
      <c r="H322" s="24" t="s">
        <v>1557</v>
      </c>
      <c r="I322" s="24"/>
      <c r="J322" s="24"/>
      <c r="K322" s="24" t="s">
        <v>1558</v>
      </c>
      <c r="L322" s="24" t="s">
        <v>1145</v>
      </c>
      <c r="M322" s="24" t="s">
        <v>1077</v>
      </c>
      <c r="N322" s="34" t="s">
        <v>1559</v>
      </c>
    </row>
    <row r="323" s="9" customFormat="1" ht="16.5" spans="1:14">
      <c r="A323" s="33" t="s">
        <v>1560</v>
      </c>
      <c r="B323" s="28" t="s">
        <v>1560</v>
      </c>
      <c r="C323" s="28" t="s">
        <v>1560</v>
      </c>
      <c r="D323" s="28" t="s">
        <v>702</v>
      </c>
      <c r="E323" s="28" t="s">
        <v>702</v>
      </c>
      <c r="F323" s="28">
        <v>888888</v>
      </c>
      <c r="G323" s="28">
        <v>888888</v>
      </c>
      <c r="H323" s="28" t="s">
        <v>1561</v>
      </c>
      <c r="I323" s="28"/>
      <c r="J323" s="28"/>
      <c r="K323" s="28" t="s">
        <v>1562</v>
      </c>
      <c r="L323" s="28" t="s">
        <v>1376</v>
      </c>
      <c r="M323" s="28" t="s">
        <v>1077</v>
      </c>
      <c r="N323" s="35" t="s">
        <v>1563</v>
      </c>
    </row>
    <row r="324" s="9" customFormat="1" ht="16.5" spans="1:14">
      <c r="A324" s="33" t="s">
        <v>1564</v>
      </c>
      <c r="B324" s="24" t="s">
        <v>1564</v>
      </c>
      <c r="C324" s="24" t="s">
        <v>1564</v>
      </c>
      <c r="D324" s="24" t="s">
        <v>702</v>
      </c>
      <c r="E324" s="24" t="s">
        <v>702</v>
      </c>
      <c r="F324" s="24">
        <v>888888</v>
      </c>
      <c r="G324" s="24">
        <v>888888</v>
      </c>
      <c r="H324" s="24" t="s">
        <v>1565</v>
      </c>
      <c r="I324" s="24"/>
      <c r="J324" s="24"/>
      <c r="K324" s="24" t="s">
        <v>1566</v>
      </c>
      <c r="L324" s="24" t="s">
        <v>1385</v>
      </c>
      <c r="M324" s="24" t="s">
        <v>1077</v>
      </c>
      <c r="N324" s="34" t="s">
        <v>1567</v>
      </c>
    </row>
    <row r="325" s="9" customFormat="1" ht="16.5" spans="1:14">
      <c r="A325" s="33" t="s">
        <v>1568</v>
      </c>
      <c r="B325" s="28" t="s">
        <v>1568</v>
      </c>
      <c r="C325" s="28" t="s">
        <v>1568</v>
      </c>
      <c r="D325" s="28" t="s">
        <v>702</v>
      </c>
      <c r="E325" s="28" t="s">
        <v>702</v>
      </c>
      <c r="F325" s="28">
        <v>888888</v>
      </c>
      <c r="G325" s="28">
        <v>888888</v>
      </c>
      <c r="H325" s="28" t="s">
        <v>1569</v>
      </c>
      <c r="I325" s="28"/>
      <c r="J325" s="28"/>
      <c r="K325" s="28" t="s">
        <v>1570</v>
      </c>
      <c r="L325" s="28" t="s">
        <v>1112</v>
      </c>
      <c r="M325" s="28" t="s">
        <v>1077</v>
      </c>
      <c r="N325" s="35" t="s">
        <v>1571</v>
      </c>
    </row>
    <row r="326" s="9" customFormat="1" ht="16.5" spans="1:14">
      <c r="A326" s="33" t="s">
        <v>1572</v>
      </c>
      <c r="B326" s="24" t="s">
        <v>1572</v>
      </c>
      <c r="C326" s="24" t="s">
        <v>1572</v>
      </c>
      <c r="D326" s="24" t="s">
        <v>702</v>
      </c>
      <c r="E326" s="24" t="s">
        <v>702</v>
      </c>
      <c r="F326" s="24">
        <v>888888</v>
      </c>
      <c r="G326" s="24">
        <v>888888</v>
      </c>
      <c r="H326" s="24" t="s">
        <v>1573</v>
      </c>
      <c r="I326" s="24"/>
      <c r="J326" s="24"/>
      <c r="K326" s="24" t="s">
        <v>1442</v>
      </c>
      <c r="L326" s="24" t="s">
        <v>1102</v>
      </c>
      <c r="M326" s="24" t="s">
        <v>1077</v>
      </c>
      <c r="N326" s="34" t="s">
        <v>1574</v>
      </c>
    </row>
    <row r="327" s="9" customFormat="1" ht="16.5" spans="1:14">
      <c r="A327" s="33" t="s">
        <v>1575</v>
      </c>
      <c r="B327" s="28" t="s">
        <v>1575</v>
      </c>
      <c r="C327" s="28" t="s">
        <v>1575</v>
      </c>
      <c r="D327" s="28" t="s">
        <v>702</v>
      </c>
      <c r="E327" s="28" t="s">
        <v>702</v>
      </c>
      <c r="F327" s="28">
        <v>888888</v>
      </c>
      <c r="G327" s="28">
        <v>888888</v>
      </c>
      <c r="H327" s="28" t="s">
        <v>1576</v>
      </c>
      <c r="I327" s="28"/>
      <c r="J327" s="28"/>
      <c r="K327" s="28" t="s">
        <v>1101</v>
      </c>
      <c r="L327" s="28" t="s">
        <v>1102</v>
      </c>
      <c r="M327" s="28" t="s">
        <v>1077</v>
      </c>
      <c r="N327" s="35" t="s">
        <v>1577</v>
      </c>
    </row>
    <row r="328" s="9" customFormat="1" ht="16.5" spans="1:14">
      <c r="A328" s="33" t="s">
        <v>1578</v>
      </c>
      <c r="B328" s="24" t="s">
        <v>1578</v>
      </c>
      <c r="C328" s="24" t="s">
        <v>1578</v>
      </c>
      <c r="D328" s="24" t="s">
        <v>702</v>
      </c>
      <c r="E328" s="24" t="s">
        <v>702</v>
      </c>
      <c r="F328" s="24">
        <v>888888</v>
      </c>
      <c r="G328" s="24">
        <v>888888</v>
      </c>
      <c r="H328" s="24" t="s">
        <v>1579</v>
      </c>
      <c r="I328" s="24"/>
      <c r="J328" s="24"/>
      <c r="K328" s="24" t="s">
        <v>1580</v>
      </c>
      <c r="L328" s="24" t="s">
        <v>993</v>
      </c>
      <c r="M328" s="24" t="s">
        <v>1077</v>
      </c>
      <c r="N328" s="34" t="s">
        <v>1581</v>
      </c>
    </row>
    <row r="329" s="9" customFormat="1" ht="16.5" spans="1:14">
      <c r="A329" s="33" t="s">
        <v>1582</v>
      </c>
      <c r="B329" s="28" t="s">
        <v>1582</v>
      </c>
      <c r="C329" s="28" t="s">
        <v>1582</v>
      </c>
      <c r="D329" s="28" t="s">
        <v>702</v>
      </c>
      <c r="E329" s="28" t="s">
        <v>702</v>
      </c>
      <c r="F329" s="28">
        <v>888888</v>
      </c>
      <c r="G329" s="28">
        <v>888888</v>
      </c>
      <c r="H329" s="28" t="s">
        <v>1583</v>
      </c>
      <c r="I329" s="28"/>
      <c r="J329" s="28"/>
      <c r="K329" s="28" t="s">
        <v>1584</v>
      </c>
      <c r="L329" s="28" t="s">
        <v>993</v>
      </c>
      <c r="M329" s="28" t="s">
        <v>1077</v>
      </c>
      <c r="N329" s="35" t="s">
        <v>1585</v>
      </c>
    </row>
    <row r="330" s="9" customFormat="1" ht="16.5" spans="1:14">
      <c r="A330" s="33" t="s">
        <v>1586</v>
      </c>
      <c r="B330" s="24" t="s">
        <v>1586</v>
      </c>
      <c r="C330" s="24" t="s">
        <v>1586</v>
      </c>
      <c r="D330" s="24" t="s">
        <v>702</v>
      </c>
      <c r="E330" s="24" t="s">
        <v>702</v>
      </c>
      <c r="F330" s="24">
        <v>888888</v>
      </c>
      <c r="G330" s="24">
        <v>888888</v>
      </c>
      <c r="H330" s="24" t="s">
        <v>1587</v>
      </c>
      <c r="I330" s="24"/>
      <c r="J330" s="24"/>
      <c r="K330" s="24" t="s">
        <v>1588</v>
      </c>
      <c r="L330" s="24" t="s">
        <v>993</v>
      </c>
      <c r="M330" s="24" t="s">
        <v>1077</v>
      </c>
      <c r="N330" s="34" t="s">
        <v>1589</v>
      </c>
    </row>
    <row r="331" s="9" customFormat="1" ht="16.5" spans="1:14">
      <c r="A331" s="33" t="s">
        <v>1590</v>
      </c>
      <c r="B331" s="28" t="s">
        <v>1590</v>
      </c>
      <c r="C331" s="28" t="s">
        <v>1590</v>
      </c>
      <c r="D331" s="28" t="s">
        <v>702</v>
      </c>
      <c r="E331" s="28" t="s">
        <v>702</v>
      </c>
      <c r="F331" s="28">
        <v>888888</v>
      </c>
      <c r="G331" s="28">
        <v>888888</v>
      </c>
      <c r="H331" s="28" t="s">
        <v>1591</v>
      </c>
      <c r="I331" s="28"/>
      <c r="J331" s="28"/>
      <c r="K331" s="28" t="s">
        <v>1592</v>
      </c>
      <c r="L331" s="28" t="s">
        <v>1193</v>
      </c>
      <c r="M331" s="28" t="s">
        <v>1077</v>
      </c>
      <c r="N331" s="35" t="s">
        <v>1593</v>
      </c>
    </row>
    <row r="332" s="9" customFormat="1" ht="16.5" spans="1:14">
      <c r="A332" s="33" t="s">
        <v>1594</v>
      </c>
      <c r="B332" s="24" t="s">
        <v>1594</v>
      </c>
      <c r="C332" s="24" t="s">
        <v>1594</v>
      </c>
      <c r="D332" s="24" t="s">
        <v>702</v>
      </c>
      <c r="E332" s="24" t="s">
        <v>702</v>
      </c>
      <c r="F332" s="24">
        <v>888888</v>
      </c>
      <c r="G332" s="24">
        <v>888888</v>
      </c>
      <c r="H332" s="24" t="s">
        <v>1595</v>
      </c>
      <c r="I332" s="24"/>
      <c r="J332" s="24"/>
      <c r="K332" s="24" t="s">
        <v>1596</v>
      </c>
      <c r="L332" s="24" t="s">
        <v>1597</v>
      </c>
      <c r="M332" s="24" t="s">
        <v>1077</v>
      </c>
      <c r="N332" s="34" t="s">
        <v>1598</v>
      </c>
    </row>
    <row r="333" s="9" customFormat="1" ht="16.5" spans="1:14">
      <c r="A333" s="33" t="s">
        <v>1599</v>
      </c>
      <c r="B333" s="28" t="s">
        <v>1599</v>
      </c>
      <c r="C333" s="28" t="s">
        <v>1599</v>
      </c>
      <c r="D333" s="28" t="s">
        <v>702</v>
      </c>
      <c r="E333" s="28" t="s">
        <v>702</v>
      </c>
      <c r="F333" s="28">
        <v>888888</v>
      </c>
      <c r="G333" s="28">
        <v>888888</v>
      </c>
      <c r="H333" s="28" t="s">
        <v>1600</v>
      </c>
      <c r="I333" s="28"/>
      <c r="J333" s="28"/>
      <c r="K333" s="28" t="s">
        <v>1601</v>
      </c>
      <c r="L333" s="28" t="s">
        <v>993</v>
      </c>
      <c r="M333" s="28" t="s">
        <v>1077</v>
      </c>
      <c r="N333" s="35" t="s">
        <v>1602</v>
      </c>
    </row>
    <row r="334" s="9" customFormat="1" ht="16.5" spans="1:14">
      <c r="A334" s="33" t="s">
        <v>1603</v>
      </c>
      <c r="B334" s="24" t="s">
        <v>1603</v>
      </c>
      <c r="C334" s="24" t="s">
        <v>1603</v>
      </c>
      <c r="D334" s="24" t="s">
        <v>702</v>
      </c>
      <c r="E334" s="24" t="s">
        <v>702</v>
      </c>
      <c r="F334" s="24">
        <v>888888</v>
      </c>
      <c r="G334" s="24">
        <v>888888</v>
      </c>
      <c r="H334" s="24" t="s">
        <v>1604</v>
      </c>
      <c r="I334" s="24"/>
      <c r="J334" s="24"/>
      <c r="K334" s="24" t="s">
        <v>1605</v>
      </c>
      <c r="L334" s="24" t="s">
        <v>993</v>
      </c>
      <c r="M334" s="24" t="s">
        <v>1077</v>
      </c>
      <c r="N334" s="34" t="s">
        <v>1606</v>
      </c>
    </row>
    <row r="335" s="9" customFormat="1" ht="16.5" spans="1:14">
      <c r="A335" s="33" t="s">
        <v>1607</v>
      </c>
      <c r="B335" s="28" t="s">
        <v>1607</v>
      </c>
      <c r="C335" s="28" t="s">
        <v>1607</v>
      </c>
      <c r="D335" s="28" t="s">
        <v>702</v>
      </c>
      <c r="E335" s="28" t="s">
        <v>702</v>
      </c>
      <c r="F335" s="28">
        <v>888888</v>
      </c>
      <c r="G335" s="28">
        <v>888888</v>
      </c>
      <c r="H335" s="28" t="s">
        <v>1608</v>
      </c>
      <c r="I335" s="28"/>
      <c r="J335" s="28"/>
      <c r="K335" s="28" t="s">
        <v>1609</v>
      </c>
      <c r="L335" s="28" t="s">
        <v>993</v>
      </c>
      <c r="M335" s="28" t="s">
        <v>1077</v>
      </c>
      <c r="N335" s="35" t="s">
        <v>1610</v>
      </c>
    </row>
    <row r="336" s="9" customFormat="1" ht="16.5" spans="1:14">
      <c r="A336" s="33" t="s">
        <v>1611</v>
      </c>
      <c r="B336" s="24" t="s">
        <v>1611</v>
      </c>
      <c r="C336" s="24" t="s">
        <v>1611</v>
      </c>
      <c r="D336" s="24" t="s">
        <v>702</v>
      </c>
      <c r="E336" s="24" t="s">
        <v>702</v>
      </c>
      <c r="F336" s="24">
        <v>888888</v>
      </c>
      <c r="G336" s="24">
        <v>888888</v>
      </c>
      <c r="H336" s="24" t="s">
        <v>1612</v>
      </c>
      <c r="I336" s="24"/>
      <c r="J336" s="24"/>
      <c r="K336" s="24" t="s">
        <v>1613</v>
      </c>
      <c r="L336" s="24" t="s">
        <v>1102</v>
      </c>
      <c r="M336" s="24" t="s">
        <v>1077</v>
      </c>
      <c r="N336" s="34" t="s">
        <v>1614</v>
      </c>
    </row>
    <row r="337" s="9" customFormat="1" ht="16.5" spans="1:14">
      <c r="A337" s="33" t="s">
        <v>1615</v>
      </c>
      <c r="B337" s="28" t="s">
        <v>1615</v>
      </c>
      <c r="C337" s="28" t="s">
        <v>1615</v>
      </c>
      <c r="D337" s="28" t="s">
        <v>702</v>
      </c>
      <c r="E337" s="28" t="s">
        <v>702</v>
      </c>
      <c r="F337" s="28">
        <v>888888</v>
      </c>
      <c r="G337" s="28">
        <v>888888</v>
      </c>
      <c r="H337" s="28" t="s">
        <v>1616</v>
      </c>
      <c r="I337" s="28"/>
      <c r="J337" s="28"/>
      <c r="K337" s="28" t="s">
        <v>1504</v>
      </c>
      <c r="L337" s="28" t="s">
        <v>993</v>
      </c>
      <c r="M337" s="28" t="s">
        <v>1077</v>
      </c>
      <c r="N337" s="35" t="s">
        <v>1617</v>
      </c>
    </row>
    <row r="338" s="9" customFormat="1" ht="16.5" spans="1:14">
      <c r="A338" s="33" t="s">
        <v>1618</v>
      </c>
      <c r="B338" s="24" t="s">
        <v>1618</v>
      </c>
      <c r="C338" s="24" t="s">
        <v>1618</v>
      </c>
      <c r="D338" s="24" t="s">
        <v>702</v>
      </c>
      <c r="E338" s="24" t="s">
        <v>702</v>
      </c>
      <c r="F338" s="24">
        <v>888888</v>
      </c>
      <c r="G338" s="24">
        <v>888888</v>
      </c>
      <c r="H338" s="24" t="s">
        <v>1619</v>
      </c>
      <c r="I338" s="24"/>
      <c r="J338" s="24"/>
      <c r="K338" s="24" t="s">
        <v>1620</v>
      </c>
      <c r="L338" s="24" t="s">
        <v>1154</v>
      </c>
      <c r="M338" s="24" t="s">
        <v>1077</v>
      </c>
      <c r="N338" s="34" t="s">
        <v>1621</v>
      </c>
    </row>
    <row r="339" s="9" customFormat="1" ht="16.5" spans="1:14">
      <c r="A339" s="33" t="s">
        <v>1622</v>
      </c>
      <c r="B339" s="28" t="s">
        <v>1622</v>
      </c>
      <c r="C339" s="28" t="s">
        <v>1622</v>
      </c>
      <c r="D339" s="28" t="s">
        <v>702</v>
      </c>
      <c r="E339" s="28" t="s">
        <v>702</v>
      </c>
      <c r="F339" s="28">
        <v>888888</v>
      </c>
      <c r="G339" s="28">
        <v>888888</v>
      </c>
      <c r="H339" s="28" t="s">
        <v>1623</v>
      </c>
      <c r="I339" s="28"/>
      <c r="J339" s="28"/>
      <c r="K339" s="28" t="s">
        <v>1624</v>
      </c>
      <c r="L339" s="27" t="s">
        <v>1112</v>
      </c>
      <c r="M339" s="28" t="s">
        <v>1077</v>
      </c>
      <c r="N339" s="35" t="s">
        <v>1625</v>
      </c>
    </row>
    <row r="340" s="9" customFormat="1" ht="16.5" spans="1:14">
      <c r="A340" s="33" t="s">
        <v>1626</v>
      </c>
      <c r="B340" s="24" t="s">
        <v>1626</v>
      </c>
      <c r="C340" s="24" t="s">
        <v>1626</v>
      </c>
      <c r="D340" s="24" t="s">
        <v>702</v>
      </c>
      <c r="E340" s="24" t="s">
        <v>702</v>
      </c>
      <c r="F340" s="24">
        <v>888888</v>
      </c>
      <c r="G340" s="24">
        <v>888888</v>
      </c>
      <c r="H340" s="36" t="s">
        <v>1627</v>
      </c>
      <c r="I340" s="24"/>
      <c r="J340" s="24"/>
      <c r="K340" s="24" t="s">
        <v>1628</v>
      </c>
      <c r="L340" s="24" t="s">
        <v>1629</v>
      </c>
      <c r="M340" s="24" t="s">
        <v>1077</v>
      </c>
      <c r="N340" s="34" t="s">
        <v>1630</v>
      </c>
    </row>
    <row r="341" s="9" customFormat="1" ht="16.5" spans="1:14">
      <c r="A341" s="33" t="s">
        <v>1631</v>
      </c>
      <c r="B341" s="28" t="s">
        <v>1631</v>
      </c>
      <c r="C341" s="28" t="s">
        <v>1631</v>
      </c>
      <c r="D341" s="28" t="s">
        <v>702</v>
      </c>
      <c r="E341" s="28" t="s">
        <v>702</v>
      </c>
      <c r="F341" s="28" t="s">
        <v>1632</v>
      </c>
      <c r="G341" s="28" t="s">
        <v>1632</v>
      </c>
      <c r="H341" s="28" t="s">
        <v>1633</v>
      </c>
      <c r="I341" s="28"/>
      <c r="J341" s="28"/>
      <c r="K341" s="28" t="s">
        <v>1634</v>
      </c>
      <c r="L341" s="28" t="s">
        <v>1513</v>
      </c>
      <c r="M341" s="28" t="s">
        <v>1077</v>
      </c>
      <c r="N341" s="35" t="s">
        <v>1635</v>
      </c>
    </row>
    <row r="342" s="9" customFormat="1" ht="16.5" spans="1:14">
      <c r="A342" s="33" t="s">
        <v>1636</v>
      </c>
      <c r="B342" s="24" t="s">
        <v>1636</v>
      </c>
      <c r="C342" s="24" t="s">
        <v>1636</v>
      </c>
      <c r="D342" s="24" t="s">
        <v>702</v>
      </c>
      <c r="E342" s="24" t="s">
        <v>702</v>
      </c>
      <c r="F342" s="24" t="s">
        <v>1632</v>
      </c>
      <c r="G342" s="24" t="s">
        <v>1632</v>
      </c>
      <c r="H342" s="24" t="s">
        <v>1637</v>
      </c>
      <c r="I342" s="24"/>
      <c r="J342" s="24"/>
      <c r="K342" s="24" t="s">
        <v>1638</v>
      </c>
      <c r="L342" s="24" t="s">
        <v>111</v>
      </c>
      <c r="M342" s="24" t="s">
        <v>1077</v>
      </c>
      <c r="N342" s="34" t="s">
        <v>1639</v>
      </c>
    </row>
    <row r="343" s="9" customFormat="1" ht="16.5" spans="1:14">
      <c r="A343" s="33" t="s">
        <v>1640</v>
      </c>
      <c r="B343" s="28" t="s">
        <v>1640</v>
      </c>
      <c r="C343" s="28" t="s">
        <v>1640</v>
      </c>
      <c r="D343" s="28" t="s">
        <v>702</v>
      </c>
      <c r="E343" s="28" t="s">
        <v>702</v>
      </c>
      <c r="F343" s="28" t="s">
        <v>1632</v>
      </c>
      <c r="G343" s="28" t="s">
        <v>1632</v>
      </c>
      <c r="H343" s="28" t="s">
        <v>1641</v>
      </c>
      <c r="I343" s="28"/>
      <c r="J343" s="28"/>
      <c r="K343" s="28" t="s">
        <v>1642</v>
      </c>
      <c r="L343" s="28" t="s">
        <v>1210</v>
      </c>
      <c r="M343" s="28" t="s">
        <v>1077</v>
      </c>
      <c r="N343" s="35" t="s">
        <v>1643</v>
      </c>
    </row>
    <row r="344" s="9" customFormat="1" ht="16.5" spans="1:14">
      <c r="A344" s="33" t="s">
        <v>1644</v>
      </c>
      <c r="B344" s="24" t="s">
        <v>1644</v>
      </c>
      <c r="C344" s="24" t="s">
        <v>1644</v>
      </c>
      <c r="D344" s="24" t="s">
        <v>702</v>
      </c>
      <c r="E344" s="24" t="s">
        <v>702</v>
      </c>
      <c r="F344" s="24" t="s">
        <v>1632</v>
      </c>
      <c r="G344" s="24" t="s">
        <v>1632</v>
      </c>
      <c r="H344" s="24" t="s">
        <v>1645</v>
      </c>
      <c r="I344" s="24"/>
      <c r="J344" s="24"/>
      <c r="K344" s="24" t="s">
        <v>1646</v>
      </c>
      <c r="L344" s="24" t="s">
        <v>1647</v>
      </c>
      <c r="M344" s="24" t="s">
        <v>1077</v>
      </c>
      <c r="N344" s="34" t="s">
        <v>1648</v>
      </c>
    </row>
    <row r="345" s="9" customFormat="1" ht="16.5" spans="1:14">
      <c r="A345" s="33" t="s">
        <v>1649</v>
      </c>
      <c r="B345" s="28" t="s">
        <v>1649</v>
      </c>
      <c r="C345" s="28" t="s">
        <v>1649</v>
      </c>
      <c r="D345" s="28" t="s">
        <v>702</v>
      </c>
      <c r="E345" s="28" t="s">
        <v>702</v>
      </c>
      <c r="F345" s="28" t="s">
        <v>1632</v>
      </c>
      <c r="G345" s="28" t="s">
        <v>1632</v>
      </c>
      <c r="H345" s="28" t="s">
        <v>1650</v>
      </c>
      <c r="I345" s="28"/>
      <c r="J345" s="28"/>
      <c r="K345" s="28" t="s">
        <v>1651</v>
      </c>
      <c r="L345" s="28" t="s">
        <v>1112</v>
      </c>
      <c r="M345" s="28" t="s">
        <v>1077</v>
      </c>
      <c r="N345" s="35" t="s">
        <v>1652</v>
      </c>
    </row>
    <row r="346" s="9" customFormat="1" ht="16.5" spans="1:14">
      <c r="A346" s="33" t="s">
        <v>1653</v>
      </c>
      <c r="B346" s="24" t="s">
        <v>1653</v>
      </c>
      <c r="C346" s="24" t="s">
        <v>1653</v>
      </c>
      <c r="D346" s="24" t="s">
        <v>702</v>
      </c>
      <c r="E346" s="24" t="s">
        <v>702</v>
      </c>
      <c r="F346" s="24" t="s">
        <v>1632</v>
      </c>
      <c r="G346" s="24" t="s">
        <v>1632</v>
      </c>
      <c r="H346" s="24" t="s">
        <v>1654</v>
      </c>
      <c r="I346" s="24"/>
      <c r="J346" s="24"/>
      <c r="K346" s="24" t="s">
        <v>1655</v>
      </c>
      <c r="L346" s="24" t="s">
        <v>1656</v>
      </c>
      <c r="M346" s="24" t="s">
        <v>1077</v>
      </c>
      <c r="N346" s="34" t="s">
        <v>1657</v>
      </c>
    </row>
    <row r="347" s="9" customFormat="1" ht="16.5" spans="1:14">
      <c r="A347" s="33" t="s">
        <v>1658</v>
      </c>
      <c r="B347" s="28" t="s">
        <v>1658</v>
      </c>
      <c r="C347" s="28" t="s">
        <v>1658</v>
      </c>
      <c r="D347" s="28" t="s">
        <v>702</v>
      </c>
      <c r="E347" s="28" t="s">
        <v>702</v>
      </c>
      <c r="F347" s="28" t="s">
        <v>1632</v>
      </c>
      <c r="G347" s="28" t="s">
        <v>1632</v>
      </c>
      <c r="H347" s="28" t="s">
        <v>1659</v>
      </c>
      <c r="I347" s="28"/>
      <c r="J347" s="28"/>
      <c r="K347" s="28" t="s">
        <v>1660</v>
      </c>
      <c r="L347" s="28" t="s">
        <v>1433</v>
      </c>
      <c r="M347" s="28" t="s">
        <v>1077</v>
      </c>
      <c r="N347" s="35">
        <v>80018</v>
      </c>
    </row>
    <row r="348" s="9" customFormat="1" ht="16.5" spans="1:14">
      <c r="A348" s="33" t="s">
        <v>1661</v>
      </c>
      <c r="B348" s="24" t="s">
        <v>1661</v>
      </c>
      <c r="C348" s="24" t="s">
        <v>1661</v>
      </c>
      <c r="D348" s="24" t="s">
        <v>702</v>
      </c>
      <c r="E348" s="24" t="s">
        <v>702</v>
      </c>
      <c r="F348" s="24" t="s">
        <v>1632</v>
      </c>
      <c r="G348" s="24" t="s">
        <v>1632</v>
      </c>
      <c r="H348" s="24" t="s">
        <v>1662</v>
      </c>
      <c r="I348" s="24"/>
      <c r="J348" s="24"/>
      <c r="K348" s="24" t="s">
        <v>1663</v>
      </c>
      <c r="L348" s="24" t="s">
        <v>1664</v>
      </c>
      <c r="M348" s="24" t="s">
        <v>1077</v>
      </c>
      <c r="N348" s="34" t="s">
        <v>1665</v>
      </c>
    </row>
    <row r="349" s="9" customFormat="1" ht="16.5" spans="1:14">
      <c r="A349" s="33" t="s">
        <v>1666</v>
      </c>
      <c r="B349" s="28" t="s">
        <v>1666</v>
      </c>
      <c r="C349" s="28" t="s">
        <v>1666</v>
      </c>
      <c r="D349" s="28" t="s">
        <v>702</v>
      </c>
      <c r="E349" s="28" t="s">
        <v>702</v>
      </c>
      <c r="F349" s="28" t="s">
        <v>1632</v>
      </c>
      <c r="G349" s="28" t="s">
        <v>1632</v>
      </c>
      <c r="H349" s="28" t="s">
        <v>1667</v>
      </c>
      <c r="I349" s="28"/>
      <c r="J349" s="28"/>
      <c r="K349" s="28" t="s">
        <v>1668</v>
      </c>
      <c r="L349" s="28" t="s">
        <v>1154</v>
      </c>
      <c r="M349" s="28" t="s">
        <v>1077</v>
      </c>
      <c r="N349" s="35" t="s">
        <v>1669</v>
      </c>
    </row>
    <row r="350" s="9" customFormat="1" ht="16.5" spans="1:14">
      <c r="A350" s="33" t="s">
        <v>1670</v>
      </c>
      <c r="B350" s="24" t="s">
        <v>1670</v>
      </c>
      <c r="C350" s="24" t="s">
        <v>1670</v>
      </c>
      <c r="D350" s="24" t="s">
        <v>1671</v>
      </c>
      <c r="E350" s="24" t="s">
        <v>1671</v>
      </c>
      <c r="F350" s="24" t="s">
        <v>1632</v>
      </c>
      <c r="G350" s="24" t="s">
        <v>1632</v>
      </c>
      <c r="H350" s="24" t="s">
        <v>1672</v>
      </c>
      <c r="I350" s="24"/>
      <c r="J350" s="24"/>
      <c r="K350" s="24" t="s">
        <v>1673</v>
      </c>
      <c r="L350" s="24" t="s">
        <v>1294</v>
      </c>
      <c r="M350" s="24" t="s">
        <v>1077</v>
      </c>
      <c r="N350" s="34" t="s">
        <v>1674</v>
      </c>
    </row>
    <row r="351" s="9" customFormat="1" ht="16.5" spans="1:14">
      <c r="A351" s="33" t="s">
        <v>1675</v>
      </c>
      <c r="B351" s="28" t="s">
        <v>1675</v>
      </c>
      <c r="C351" s="28" t="s">
        <v>1675</v>
      </c>
      <c r="D351" s="28" t="s">
        <v>702</v>
      </c>
      <c r="E351" s="28" t="s">
        <v>702</v>
      </c>
      <c r="F351" s="28" t="s">
        <v>1632</v>
      </c>
      <c r="G351" s="28" t="s">
        <v>1632</v>
      </c>
      <c r="H351" s="28" t="s">
        <v>1676</v>
      </c>
      <c r="I351" s="28"/>
      <c r="J351" s="28"/>
      <c r="K351" s="28" t="s">
        <v>1677</v>
      </c>
      <c r="L351" s="28" t="s">
        <v>1401</v>
      </c>
      <c r="M351" s="28" t="s">
        <v>1077</v>
      </c>
      <c r="N351" s="35" t="s">
        <v>1678</v>
      </c>
    </row>
    <row r="352" s="9" customFormat="1" ht="16.5" spans="1:14">
      <c r="A352" s="33" t="s">
        <v>1679</v>
      </c>
      <c r="B352" s="24" t="s">
        <v>1679</v>
      </c>
      <c r="C352" s="24" t="s">
        <v>1679</v>
      </c>
      <c r="D352" s="24" t="s">
        <v>702</v>
      </c>
      <c r="E352" s="24" t="s">
        <v>702</v>
      </c>
      <c r="F352" s="24" t="s">
        <v>1632</v>
      </c>
      <c r="G352" s="24" t="s">
        <v>1632</v>
      </c>
      <c r="H352" s="24" t="s">
        <v>1680</v>
      </c>
      <c r="I352" s="24"/>
      <c r="J352" s="24"/>
      <c r="K352" s="24" t="s">
        <v>1681</v>
      </c>
      <c r="L352" s="24" t="s">
        <v>1145</v>
      </c>
      <c r="M352" s="24" t="s">
        <v>1077</v>
      </c>
      <c r="N352" s="34" t="s">
        <v>1682</v>
      </c>
    </row>
    <row r="353" s="9" customFormat="1" ht="16.5" spans="1:14">
      <c r="A353" s="33" t="s">
        <v>1683</v>
      </c>
      <c r="B353" s="28" t="s">
        <v>1683</v>
      </c>
      <c r="C353" s="28" t="s">
        <v>1683</v>
      </c>
      <c r="D353" s="28" t="s">
        <v>702</v>
      </c>
      <c r="E353" s="28" t="s">
        <v>702</v>
      </c>
      <c r="F353" s="28">
        <v>888888</v>
      </c>
      <c r="G353" s="28">
        <v>888888</v>
      </c>
      <c r="H353" s="28" t="s">
        <v>1684</v>
      </c>
      <c r="I353" s="28"/>
      <c r="J353" s="28"/>
      <c r="K353" s="28" t="s">
        <v>1685</v>
      </c>
      <c r="L353" s="28" t="s">
        <v>993</v>
      </c>
      <c r="M353" s="28" t="s">
        <v>1077</v>
      </c>
      <c r="N353" s="35">
        <v>92223</v>
      </c>
    </row>
    <row r="354" s="9" customFormat="1" ht="16.5" spans="1:14">
      <c r="A354" s="33" t="s">
        <v>1686</v>
      </c>
      <c r="B354" s="24" t="s">
        <v>1686</v>
      </c>
      <c r="C354" s="24" t="s">
        <v>1686</v>
      </c>
      <c r="D354" s="24" t="s">
        <v>702</v>
      </c>
      <c r="E354" s="24" t="s">
        <v>702</v>
      </c>
      <c r="F354" s="24">
        <v>888888</v>
      </c>
      <c r="G354" s="24">
        <v>888888</v>
      </c>
      <c r="H354" s="24" t="s">
        <v>1687</v>
      </c>
      <c r="I354" s="24"/>
      <c r="J354" s="24"/>
      <c r="K354" s="24" t="s">
        <v>1688</v>
      </c>
      <c r="L354" s="24" t="s">
        <v>1401</v>
      </c>
      <c r="M354" s="24" t="s">
        <v>1077</v>
      </c>
      <c r="N354" s="34" t="s">
        <v>1689</v>
      </c>
    </row>
    <row r="355" s="9" customFormat="1" ht="16.5" spans="1:14">
      <c r="A355" s="33" t="s">
        <v>1690</v>
      </c>
      <c r="B355" s="28" t="s">
        <v>1690</v>
      </c>
      <c r="C355" s="28" t="s">
        <v>1690</v>
      </c>
      <c r="D355" s="28" t="s">
        <v>702</v>
      </c>
      <c r="E355" s="28" t="s">
        <v>702</v>
      </c>
      <c r="F355" s="28">
        <v>888888</v>
      </c>
      <c r="G355" s="28">
        <v>888888</v>
      </c>
      <c r="H355" s="28" t="s">
        <v>1691</v>
      </c>
      <c r="I355" s="28"/>
      <c r="J355" s="28"/>
      <c r="K355" s="28" t="s">
        <v>1692</v>
      </c>
      <c r="L355" s="28" t="s">
        <v>993</v>
      </c>
      <c r="M355" s="28" t="s">
        <v>1077</v>
      </c>
      <c r="N355" s="35" t="s">
        <v>1693</v>
      </c>
    </row>
    <row r="356" s="9" customFormat="1" ht="16.5" spans="1:14">
      <c r="A356" s="33" t="s">
        <v>1694</v>
      </c>
      <c r="B356" s="24" t="s">
        <v>1694</v>
      </c>
      <c r="C356" s="24" t="s">
        <v>1694</v>
      </c>
      <c r="D356" s="24" t="s">
        <v>702</v>
      </c>
      <c r="E356" s="24" t="s">
        <v>702</v>
      </c>
      <c r="F356" s="24">
        <v>888888</v>
      </c>
      <c r="G356" s="24">
        <v>888888</v>
      </c>
      <c r="H356" s="24" t="s">
        <v>1695</v>
      </c>
      <c r="I356" s="24"/>
      <c r="J356" s="24"/>
      <c r="K356" s="24" t="s">
        <v>1696</v>
      </c>
      <c r="L356" s="24" t="s">
        <v>1253</v>
      </c>
      <c r="M356" s="24" t="s">
        <v>1077</v>
      </c>
      <c r="N356" s="34">
        <v>23321</v>
      </c>
    </row>
    <row r="357" s="9" customFormat="1" ht="16.5" spans="1:14">
      <c r="A357" s="33" t="s">
        <v>1697</v>
      </c>
      <c r="B357" s="28" t="s">
        <v>1697</v>
      </c>
      <c r="C357" s="28" t="s">
        <v>1697</v>
      </c>
      <c r="D357" s="28" t="s">
        <v>702</v>
      </c>
      <c r="E357" s="28" t="s">
        <v>702</v>
      </c>
      <c r="F357" s="28">
        <v>888888</v>
      </c>
      <c r="G357" s="28">
        <v>888888</v>
      </c>
      <c r="H357" s="28" t="s">
        <v>1698</v>
      </c>
      <c r="I357" s="28"/>
      <c r="J357" s="28"/>
      <c r="K357" s="28" t="s">
        <v>1699</v>
      </c>
      <c r="L357" s="28" t="s">
        <v>1082</v>
      </c>
      <c r="M357" s="28" t="s">
        <v>1077</v>
      </c>
      <c r="N357" s="35">
        <v>28134</v>
      </c>
    </row>
    <row r="358" s="9" customFormat="1" ht="16.5" spans="1:14">
      <c r="A358" s="33" t="s">
        <v>1700</v>
      </c>
      <c r="B358" s="24" t="s">
        <v>1700</v>
      </c>
      <c r="C358" s="24" t="s">
        <v>1700</v>
      </c>
      <c r="D358" s="24" t="s">
        <v>702</v>
      </c>
      <c r="E358" s="24" t="s">
        <v>702</v>
      </c>
      <c r="F358" s="24">
        <v>888888</v>
      </c>
      <c r="G358" s="24">
        <v>888888</v>
      </c>
      <c r="H358" s="37" t="s">
        <v>1701</v>
      </c>
      <c r="I358" s="24"/>
      <c r="J358" s="24"/>
      <c r="K358" s="24" t="s">
        <v>1702</v>
      </c>
      <c r="L358" s="24" t="s">
        <v>993</v>
      </c>
      <c r="M358" s="24" t="s">
        <v>1077</v>
      </c>
      <c r="N358" s="34">
        <v>92394</v>
      </c>
    </row>
    <row r="359" s="9" customFormat="1" ht="16.5" spans="1:14">
      <c r="A359" s="33" t="s">
        <v>1703</v>
      </c>
      <c r="B359" s="28" t="s">
        <v>1703</v>
      </c>
      <c r="C359" s="28" t="s">
        <v>1703</v>
      </c>
      <c r="D359" s="28" t="s">
        <v>702</v>
      </c>
      <c r="E359" s="28" t="s">
        <v>702</v>
      </c>
      <c r="F359" s="28">
        <v>888888</v>
      </c>
      <c r="G359" s="28">
        <v>888888</v>
      </c>
      <c r="H359" s="38" t="s">
        <v>1704</v>
      </c>
      <c r="I359" s="28"/>
      <c r="J359" s="28"/>
      <c r="K359" s="28" t="s">
        <v>1705</v>
      </c>
      <c r="L359" s="28" t="s">
        <v>1258</v>
      </c>
      <c r="M359" s="28" t="s">
        <v>1077</v>
      </c>
      <c r="N359" s="35" t="s">
        <v>1706</v>
      </c>
    </row>
    <row r="360" s="9" customFormat="1" ht="16.5" spans="1:14">
      <c r="A360" s="33" t="s">
        <v>1707</v>
      </c>
      <c r="B360" s="24" t="s">
        <v>1707</v>
      </c>
      <c r="C360" s="24" t="s">
        <v>1707</v>
      </c>
      <c r="D360" s="24" t="s">
        <v>1708</v>
      </c>
      <c r="E360" s="24" t="s">
        <v>702</v>
      </c>
      <c r="F360" s="24">
        <v>888888</v>
      </c>
      <c r="G360" s="24">
        <v>888888</v>
      </c>
      <c r="H360" s="37" t="s">
        <v>1709</v>
      </c>
      <c r="I360" s="24"/>
      <c r="J360" s="24"/>
      <c r="K360" s="24" t="s">
        <v>1710</v>
      </c>
      <c r="L360" s="24" t="s">
        <v>1154</v>
      </c>
      <c r="M360" s="24" t="s">
        <v>1077</v>
      </c>
      <c r="N360" s="34" t="s">
        <v>1711</v>
      </c>
    </row>
    <row r="361" s="9" customFormat="1" ht="16.5" spans="1:14">
      <c r="A361" s="33" t="s">
        <v>1712</v>
      </c>
      <c r="B361" s="28" t="s">
        <v>1712</v>
      </c>
      <c r="C361" s="28" t="s">
        <v>1712</v>
      </c>
      <c r="D361" s="28" t="s">
        <v>702</v>
      </c>
      <c r="E361" s="28" t="s">
        <v>702</v>
      </c>
      <c r="F361" s="28">
        <v>888888</v>
      </c>
      <c r="G361" s="28">
        <v>888888</v>
      </c>
      <c r="H361" s="38" t="s">
        <v>1713</v>
      </c>
      <c r="I361" s="28"/>
      <c r="J361" s="28"/>
      <c r="K361" s="28" t="s">
        <v>1714</v>
      </c>
      <c r="L361" s="28" t="s">
        <v>1112</v>
      </c>
      <c r="M361" s="28" t="s">
        <v>1077</v>
      </c>
      <c r="N361" s="35" t="s">
        <v>1715</v>
      </c>
    </row>
    <row r="362" s="9" customFormat="1" ht="17.25" spans="1:14">
      <c r="A362" s="39" t="s">
        <v>1716</v>
      </c>
      <c r="B362" s="40" t="s">
        <v>1716</v>
      </c>
      <c r="C362" s="40" t="s">
        <v>1716</v>
      </c>
      <c r="D362" s="41" t="s">
        <v>702</v>
      </c>
      <c r="E362" s="41" t="s">
        <v>702</v>
      </c>
      <c r="F362" s="41">
        <v>888888</v>
      </c>
      <c r="G362" s="41">
        <v>888888</v>
      </c>
      <c r="H362" s="40" t="s">
        <v>1717</v>
      </c>
      <c r="I362" s="40"/>
      <c r="J362" s="40"/>
      <c r="K362" s="40" t="s">
        <v>1149</v>
      </c>
      <c r="L362" s="40" t="s">
        <v>1294</v>
      </c>
      <c r="M362" s="41" t="s">
        <v>1077</v>
      </c>
      <c r="N362" s="42">
        <v>30184</v>
      </c>
    </row>
    <row r="363" s="9" customFormat="1" ht="16.5" spans="1:14">
      <c r="A363" s="33" t="s">
        <v>1718</v>
      </c>
      <c r="B363" s="24" t="s">
        <v>1718</v>
      </c>
      <c r="C363" s="24" t="s">
        <v>1718</v>
      </c>
      <c r="D363" s="24" t="s">
        <v>702</v>
      </c>
      <c r="E363" s="24" t="s">
        <v>702</v>
      </c>
      <c r="F363" s="24">
        <v>888888</v>
      </c>
      <c r="G363" s="24">
        <v>888888</v>
      </c>
      <c r="H363" s="37" t="s">
        <v>1719</v>
      </c>
      <c r="I363" s="24"/>
      <c r="J363" s="24"/>
      <c r="K363" s="24" t="s">
        <v>1091</v>
      </c>
      <c r="L363" s="24" t="s">
        <v>1092</v>
      </c>
      <c r="M363" s="24" t="s">
        <v>1077</v>
      </c>
      <c r="N363" s="34" t="s">
        <v>1720</v>
      </c>
    </row>
    <row r="364" s="9" customFormat="1" ht="16.5" spans="1:14">
      <c r="A364" s="33" t="s">
        <v>1721</v>
      </c>
      <c r="B364" s="28" t="s">
        <v>1721</v>
      </c>
      <c r="C364" s="28" t="s">
        <v>1721</v>
      </c>
      <c r="D364" s="28" t="s">
        <v>702</v>
      </c>
      <c r="E364" s="28" t="s">
        <v>702</v>
      </c>
      <c r="F364" s="28">
        <v>888888</v>
      </c>
      <c r="G364" s="28">
        <v>888888</v>
      </c>
      <c r="H364" s="38" t="s">
        <v>1722</v>
      </c>
      <c r="I364" s="28"/>
      <c r="J364" s="28"/>
      <c r="K364" s="28" t="s">
        <v>1723</v>
      </c>
      <c r="L364" s="28" t="s">
        <v>1117</v>
      </c>
      <c r="M364" s="28" t="s">
        <v>1077</v>
      </c>
      <c r="N364" s="35">
        <v>17408</v>
      </c>
    </row>
    <row r="365" s="9" customFormat="1" ht="16.5" spans="1:14">
      <c r="A365" s="33" t="s">
        <v>1724</v>
      </c>
      <c r="B365" s="24" t="s">
        <v>1724</v>
      </c>
      <c r="C365" s="24" t="s">
        <v>1724</v>
      </c>
      <c r="D365" s="24" t="s">
        <v>702</v>
      </c>
      <c r="E365" s="24" t="s">
        <v>702</v>
      </c>
      <c r="F365" s="24">
        <v>888888</v>
      </c>
      <c r="G365" s="24">
        <v>888888</v>
      </c>
      <c r="H365" s="37" t="s">
        <v>1725</v>
      </c>
      <c r="I365" s="24"/>
      <c r="J365" s="24"/>
      <c r="K365" s="24" t="s">
        <v>1726</v>
      </c>
      <c r="L365" s="24" t="s">
        <v>1253</v>
      </c>
      <c r="M365" s="24" t="s">
        <v>1077</v>
      </c>
      <c r="N365" s="34" t="s">
        <v>1727</v>
      </c>
    </row>
    <row r="366" s="9" customFormat="1" ht="16.5" spans="1:14">
      <c r="A366" s="33" t="s">
        <v>1728</v>
      </c>
      <c r="B366" s="28" t="s">
        <v>1728</v>
      </c>
      <c r="C366" s="28" t="s">
        <v>1728</v>
      </c>
      <c r="D366" s="28" t="s">
        <v>702</v>
      </c>
      <c r="E366" s="28" t="s">
        <v>702</v>
      </c>
      <c r="F366" s="28">
        <v>888888</v>
      </c>
      <c r="G366" s="28">
        <v>888888</v>
      </c>
      <c r="H366" s="38" t="s">
        <v>1729</v>
      </c>
      <c r="I366" s="28"/>
      <c r="J366" s="28"/>
      <c r="K366" s="28" t="s">
        <v>1730</v>
      </c>
      <c r="L366" s="28" t="s">
        <v>1112</v>
      </c>
      <c r="M366" s="28" t="s">
        <v>1077</v>
      </c>
      <c r="N366" s="35" t="s">
        <v>1731</v>
      </c>
    </row>
    <row r="367" s="9" customFormat="1" ht="16.5" spans="1:14">
      <c r="A367" s="33" t="s">
        <v>1732</v>
      </c>
      <c r="B367" s="24" t="s">
        <v>1732</v>
      </c>
      <c r="C367" s="24" t="s">
        <v>1732</v>
      </c>
      <c r="D367" s="24" t="s">
        <v>702</v>
      </c>
      <c r="E367" s="24" t="s">
        <v>702</v>
      </c>
      <c r="F367" s="24">
        <v>888888</v>
      </c>
      <c r="G367" s="24">
        <v>888888</v>
      </c>
      <c r="H367" s="37" t="s">
        <v>1733</v>
      </c>
      <c r="I367" s="24"/>
      <c r="J367" s="24"/>
      <c r="K367" s="24" t="s">
        <v>1734</v>
      </c>
      <c r="L367" s="24" t="s">
        <v>1112</v>
      </c>
      <c r="M367" s="24" t="s">
        <v>1077</v>
      </c>
      <c r="N367" s="34" t="s">
        <v>1735</v>
      </c>
    </row>
    <row r="368" s="9" customFormat="1" ht="16.5" spans="1:14">
      <c r="A368" s="33" t="s">
        <v>1736</v>
      </c>
      <c r="B368" s="28" t="s">
        <v>1736</v>
      </c>
      <c r="C368" s="28" t="s">
        <v>1736</v>
      </c>
      <c r="D368" s="28" t="s">
        <v>702</v>
      </c>
      <c r="E368" s="28" t="s">
        <v>702</v>
      </c>
      <c r="F368" s="28">
        <v>888888</v>
      </c>
      <c r="G368" s="28">
        <v>888888</v>
      </c>
      <c r="H368" s="38" t="s">
        <v>1737</v>
      </c>
      <c r="I368" s="28"/>
      <c r="J368" s="28"/>
      <c r="K368" s="28" t="s">
        <v>1738</v>
      </c>
      <c r="L368" s="28" t="s">
        <v>1597</v>
      </c>
      <c r="M368" s="28" t="s">
        <v>1077</v>
      </c>
      <c r="N368" s="35">
        <v>64068</v>
      </c>
    </row>
    <row r="369" s="9" customFormat="1" ht="16.5" spans="1:14">
      <c r="A369" s="33" t="s">
        <v>1739</v>
      </c>
      <c r="B369" s="24" t="s">
        <v>1739</v>
      </c>
      <c r="C369" s="24" t="s">
        <v>1739</v>
      </c>
      <c r="D369" s="24" t="s">
        <v>702</v>
      </c>
      <c r="E369" s="24" t="s">
        <v>702</v>
      </c>
      <c r="F369" s="24">
        <v>888888</v>
      </c>
      <c r="G369" s="24">
        <v>888888</v>
      </c>
      <c r="H369" s="37" t="s">
        <v>1740</v>
      </c>
      <c r="I369" s="24"/>
      <c r="J369" s="24"/>
      <c r="K369" s="24" t="s">
        <v>1741</v>
      </c>
      <c r="L369" s="24" t="s">
        <v>1140</v>
      </c>
      <c r="M369" s="24" t="s">
        <v>1077</v>
      </c>
      <c r="N369" s="34">
        <v>44705</v>
      </c>
    </row>
    <row r="370" s="9" customFormat="1" ht="16.5" spans="1:14">
      <c r="A370" s="33" t="s">
        <v>1742</v>
      </c>
      <c r="B370" s="28" t="s">
        <v>1742</v>
      </c>
      <c r="C370" s="28" t="s">
        <v>1742</v>
      </c>
      <c r="D370" s="28" t="s">
        <v>702</v>
      </c>
      <c r="E370" s="28" t="s">
        <v>702</v>
      </c>
      <c r="F370" s="28">
        <v>888888</v>
      </c>
      <c r="G370" s="28">
        <v>888888</v>
      </c>
      <c r="H370" s="38" t="s">
        <v>1743</v>
      </c>
      <c r="I370" s="28"/>
      <c r="J370" s="28"/>
      <c r="K370" s="28" t="s">
        <v>1744</v>
      </c>
      <c r="L370" s="28" t="s">
        <v>993</v>
      </c>
      <c r="M370" s="28" t="s">
        <v>1077</v>
      </c>
      <c r="N370" s="35" t="s">
        <v>1745</v>
      </c>
    </row>
    <row r="371" s="9" customFormat="1" ht="16.5" spans="1:14">
      <c r="A371" s="33" t="s">
        <v>1746</v>
      </c>
      <c r="B371" s="24" t="s">
        <v>1746</v>
      </c>
      <c r="C371" s="24" t="s">
        <v>1746</v>
      </c>
      <c r="D371" s="24" t="s">
        <v>702</v>
      </c>
      <c r="E371" s="24" t="s">
        <v>702</v>
      </c>
      <c r="F371" s="24">
        <v>888888</v>
      </c>
      <c r="G371" s="24">
        <v>888888</v>
      </c>
      <c r="H371" s="37" t="s">
        <v>1747</v>
      </c>
      <c r="I371" s="24"/>
      <c r="J371" s="24"/>
      <c r="K371" s="24" t="s">
        <v>1748</v>
      </c>
      <c r="L371" s="24" t="s">
        <v>1210</v>
      </c>
      <c r="M371" s="24" t="s">
        <v>1077</v>
      </c>
      <c r="N371" s="34" t="s">
        <v>1749</v>
      </c>
    </row>
    <row r="372" s="9" customFormat="1" ht="16.5" spans="1:14">
      <c r="A372" s="33" t="s">
        <v>1750</v>
      </c>
      <c r="B372" s="28" t="s">
        <v>1750</v>
      </c>
      <c r="C372" s="28" t="s">
        <v>1750</v>
      </c>
      <c r="D372" s="28" t="s">
        <v>702</v>
      </c>
      <c r="E372" s="28" t="s">
        <v>702</v>
      </c>
      <c r="F372" s="28">
        <v>888888</v>
      </c>
      <c r="G372" s="28">
        <v>888888</v>
      </c>
      <c r="H372" s="38" t="s">
        <v>1751</v>
      </c>
      <c r="I372" s="28"/>
      <c r="J372" s="28"/>
      <c r="K372" s="28" t="s">
        <v>1752</v>
      </c>
      <c r="L372" s="28" t="s">
        <v>1117</v>
      </c>
      <c r="M372" s="28" t="s">
        <v>1077</v>
      </c>
      <c r="N372" s="35" t="s">
        <v>1753</v>
      </c>
    </row>
    <row r="373" s="9" customFormat="1" ht="17.25" spans="1:14">
      <c r="A373" s="33" t="s">
        <v>1754</v>
      </c>
      <c r="B373" s="24" t="s">
        <v>1754</v>
      </c>
      <c r="C373" s="24" t="s">
        <v>1754</v>
      </c>
      <c r="D373" s="24" t="s">
        <v>702</v>
      </c>
      <c r="E373" s="24" t="s">
        <v>702</v>
      </c>
      <c r="F373" s="24">
        <v>888888</v>
      </c>
      <c r="G373" s="24">
        <v>888888</v>
      </c>
      <c r="H373" s="37" t="s">
        <v>1755</v>
      </c>
      <c r="I373" s="24"/>
      <c r="J373" s="24"/>
      <c r="K373" s="24" t="s">
        <v>1756</v>
      </c>
      <c r="L373" s="24" t="s">
        <v>1253</v>
      </c>
      <c r="M373" s="24" t="s">
        <v>1077</v>
      </c>
      <c r="N373" s="43" t="s">
        <v>1757</v>
      </c>
    </row>
    <row r="374" s="9" customFormat="1" ht="16.5" spans="1:14">
      <c r="A374" s="33" t="s">
        <v>1758</v>
      </c>
      <c r="B374" s="28" t="s">
        <v>1758</v>
      </c>
      <c r="C374" s="28" t="s">
        <v>1758</v>
      </c>
      <c r="D374" s="28" t="s">
        <v>702</v>
      </c>
      <c r="E374" s="28" t="s">
        <v>702</v>
      </c>
      <c r="F374" s="28">
        <v>888888</v>
      </c>
      <c r="G374" s="28">
        <v>888888</v>
      </c>
      <c r="H374" s="38" t="s">
        <v>1759</v>
      </c>
      <c r="I374" s="28"/>
      <c r="J374" s="28"/>
      <c r="K374" s="28" t="s">
        <v>1760</v>
      </c>
      <c r="L374" s="28" t="s">
        <v>1112</v>
      </c>
      <c r="M374" s="28" t="s">
        <v>1077</v>
      </c>
      <c r="N374" s="35">
        <v>75261</v>
      </c>
    </row>
    <row r="375" s="9" customFormat="1" ht="16.5" spans="1:14">
      <c r="A375" s="33" t="s">
        <v>1761</v>
      </c>
      <c r="B375" s="24" t="s">
        <v>1761</v>
      </c>
      <c r="C375" s="24" t="s">
        <v>1761</v>
      </c>
      <c r="D375" s="24" t="s">
        <v>702</v>
      </c>
      <c r="E375" s="24" t="s">
        <v>702</v>
      </c>
      <c r="F375" s="24">
        <v>888888</v>
      </c>
      <c r="G375" s="24">
        <v>888888</v>
      </c>
      <c r="H375" s="37" t="s">
        <v>1762</v>
      </c>
      <c r="I375" s="24"/>
      <c r="J375" s="24"/>
      <c r="K375" s="24" t="s">
        <v>1763</v>
      </c>
      <c r="L375" s="24" t="s">
        <v>993</v>
      </c>
      <c r="M375" s="24" t="s">
        <v>1077</v>
      </c>
      <c r="N375" s="34" t="s">
        <v>1764</v>
      </c>
    </row>
    <row r="376" s="9" customFormat="1" ht="16.5" spans="1:14">
      <c r="A376" s="33" t="s">
        <v>1765</v>
      </c>
      <c r="B376" s="28" t="s">
        <v>1765</v>
      </c>
      <c r="C376" s="28" t="s">
        <v>1765</v>
      </c>
      <c r="D376" s="28" t="s">
        <v>702</v>
      </c>
      <c r="E376" s="28" t="s">
        <v>702</v>
      </c>
      <c r="F376" s="28">
        <v>888888</v>
      </c>
      <c r="G376" s="28">
        <v>888888</v>
      </c>
      <c r="H376" s="38" t="s">
        <v>1766</v>
      </c>
      <c r="I376" s="28"/>
      <c r="J376" s="28"/>
      <c r="K376" s="28" t="s">
        <v>1767</v>
      </c>
      <c r="L376" s="28" t="s">
        <v>1117</v>
      </c>
      <c r="M376" s="28" t="s">
        <v>1077</v>
      </c>
      <c r="N376" s="35" t="s">
        <v>1768</v>
      </c>
    </row>
    <row r="377" s="9" customFormat="1" ht="16.5" spans="1:14">
      <c r="A377" s="33" t="s">
        <v>1769</v>
      </c>
      <c r="B377" s="24" t="s">
        <v>1769</v>
      </c>
      <c r="C377" s="24" t="s">
        <v>1769</v>
      </c>
      <c r="D377" s="24" t="s">
        <v>702</v>
      </c>
      <c r="E377" s="24" t="s">
        <v>702</v>
      </c>
      <c r="F377" s="24">
        <v>888888</v>
      </c>
      <c r="G377" s="24">
        <v>888888</v>
      </c>
      <c r="H377" s="37" t="s">
        <v>1770</v>
      </c>
      <c r="I377" s="24"/>
      <c r="J377" s="24"/>
      <c r="K377" s="24" t="s">
        <v>1334</v>
      </c>
      <c r="L377" s="24" t="s">
        <v>1335</v>
      </c>
      <c r="M377" s="24" t="s">
        <v>1077</v>
      </c>
      <c r="N377" s="34" t="s">
        <v>1771</v>
      </c>
    </row>
    <row r="378" s="9" customFormat="1" ht="16.5" spans="1:14">
      <c r="A378" s="33" t="s">
        <v>1772</v>
      </c>
      <c r="B378" s="28" t="s">
        <v>1772</v>
      </c>
      <c r="C378" s="28" t="s">
        <v>1772</v>
      </c>
      <c r="D378" s="28" t="s">
        <v>702</v>
      </c>
      <c r="E378" s="28" t="s">
        <v>702</v>
      </c>
      <c r="F378" s="28">
        <v>888888</v>
      </c>
      <c r="G378" s="28">
        <v>888888</v>
      </c>
      <c r="H378" s="38" t="s">
        <v>1773</v>
      </c>
      <c r="I378" s="28"/>
      <c r="J378" s="28"/>
      <c r="K378" s="28" t="s">
        <v>1570</v>
      </c>
      <c r="L378" s="28" t="s">
        <v>1112</v>
      </c>
      <c r="M378" s="28" t="s">
        <v>1077</v>
      </c>
      <c r="N378" s="35">
        <v>77032</v>
      </c>
    </row>
    <row r="379" s="9" customFormat="1" ht="16.5" spans="1:14">
      <c r="A379" s="33" t="s">
        <v>1774</v>
      </c>
      <c r="B379" s="24" t="s">
        <v>1774</v>
      </c>
      <c r="C379" s="24" t="s">
        <v>1774</v>
      </c>
      <c r="D379" s="24" t="s">
        <v>702</v>
      </c>
      <c r="E379" s="24" t="s">
        <v>702</v>
      </c>
      <c r="F379" s="24">
        <v>888888</v>
      </c>
      <c r="G379" s="24">
        <v>888888</v>
      </c>
      <c r="H379" s="37" t="s">
        <v>1775</v>
      </c>
      <c r="I379" s="24"/>
      <c r="J379" s="24"/>
      <c r="K379" s="24" t="s">
        <v>1776</v>
      </c>
      <c r="L379" s="24" t="s">
        <v>993</v>
      </c>
      <c r="M379" s="24" t="s">
        <v>1077</v>
      </c>
      <c r="N379" s="34" t="s">
        <v>1777</v>
      </c>
    </row>
    <row r="380" s="9" customFormat="1" ht="16.5" spans="1:14">
      <c r="A380" s="33" t="s">
        <v>1778</v>
      </c>
      <c r="B380" s="28" t="s">
        <v>1778</v>
      </c>
      <c r="C380" s="28" t="s">
        <v>1778</v>
      </c>
      <c r="D380" s="28" t="s">
        <v>702</v>
      </c>
      <c r="E380" s="28" t="s">
        <v>702</v>
      </c>
      <c r="F380" s="28">
        <v>888888</v>
      </c>
      <c r="G380" s="28">
        <v>888888</v>
      </c>
      <c r="H380" s="38" t="s">
        <v>1779</v>
      </c>
      <c r="I380" s="28"/>
      <c r="J380" s="28"/>
      <c r="K380" s="28" t="s">
        <v>1780</v>
      </c>
      <c r="L380" s="28" t="s">
        <v>1140</v>
      </c>
      <c r="M380" s="28" t="s">
        <v>1077</v>
      </c>
      <c r="N380" s="35" t="s">
        <v>1781</v>
      </c>
    </row>
    <row r="381" s="9" customFormat="1" ht="16.5" spans="1:14">
      <c r="A381" s="33" t="s">
        <v>1782</v>
      </c>
      <c r="B381" s="24" t="s">
        <v>1782</v>
      </c>
      <c r="C381" s="24" t="s">
        <v>1782</v>
      </c>
      <c r="D381" s="24" t="s">
        <v>702</v>
      </c>
      <c r="E381" s="24" t="s">
        <v>702</v>
      </c>
      <c r="F381" s="24">
        <v>888888</v>
      </c>
      <c r="G381" s="24">
        <v>888888</v>
      </c>
      <c r="H381" s="37" t="s">
        <v>1783</v>
      </c>
      <c r="I381" s="24"/>
      <c r="J381" s="24"/>
      <c r="K381" s="24" t="s">
        <v>1784</v>
      </c>
      <c r="L381" s="24" t="s">
        <v>1097</v>
      </c>
      <c r="M381" s="24" t="s">
        <v>1077</v>
      </c>
      <c r="N381" s="34" t="s">
        <v>1785</v>
      </c>
    </row>
    <row r="382" s="9" customFormat="1" ht="16.5" spans="1:14">
      <c r="A382" s="33" t="s">
        <v>1786</v>
      </c>
      <c r="B382" s="28" t="s">
        <v>1786</v>
      </c>
      <c r="C382" s="28" t="s">
        <v>1786</v>
      </c>
      <c r="D382" s="28" t="s">
        <v>702</v>
      </c>
      <c r="E382" s="28" t="s">
        <v>702</v>
      </c>
      <c r="F382" s="28">
        <v>888888</v>
      </c>
      <c r="G382" s="28">
        <v>888888</v>
      </c>
      <c r="H382" s="38" t="s">
        <v>1787</v>
      </c>
      <c r="I382" s="28"/>
      <c r="J382" s="28"/>
      <c r="K382" s="28" t="s">
        <v>1788</v>
      </c>
      <c r="L382" s="28" t="s">
        <v>1154</v>
      </c>
      <c r="M382" s="28" t="s">
        <v>1077</v>
      </c>
      <c r="N382" s="35">
        <v>60142</v>
      </c>
    </row>
    <row r="383" s="9" customFormat="1" ht="16.5" spans="1:14">
      <c r="A383" s="33" t="s">
        <v>1789</v>
      </c>
      <c r="B383" s="24" t="s">
        <v>1789</v>
      </c>
      <c r="C383" s="24" t="s">
        <v>1789</v>
      </c>
      <c r="D383" s="24" t="s">
        <v>702</v>
      </c>
      <c r="E383" s="24" t="s">
        <v>702</v>
      </c>
      <c r="F383" s="24">
        <v>888888</v>
      </c>
      <c r="G383" s="24">
        <v>888888</v>
      </c>
      <c r="H383" s="37" t="s">
        <v>1790</v>
      </c>
      <c r="I383" s="24"/>
      <c r="J383" s="24"/>
      <c r="K383" s="24" t="s">
        <v>1570</v>
      </c>
      <c r="L383" s="24" t="s">
        <v>1112</v>
      </c>
      <c r="M383" s="24" t="s">
        <v>1077</v>
      </c>
      <c r="N383" s="34" t="s">
        <v>1791</v>
      </c>
    </row>
    <row r="384" s="9" customFormat="1" ht="16.5" spans="1:14">
      <c r="A384" s="33" t="s">
        <v>1792</v>
      </c>
      <c r="B384" s="28" t="s">
        <v>1792</v>
      </c>
      <c r="C384" s="28" t="s">
        <v>1792</v>
      </c>
      <c r="D384" s="28" t="s">
        <v>702</v>
      </c>
      <c r="E384" s="28" t="s">
        <v>702</v>
      </c>
      <c r="F384" s="28">
        <v>888888</v>
      </c>
      <c r="G384" s="28">
        <v>888888</v>
      </c>
      <c r="H384" s="38" t="s">
        <v>1793</v>
      </c>
      <c r="I384" s="28"/>
      <c r="J384" s="28"/>
      <c r="K384" s="28" t="s">
        <v>1101</v>
      </c>
      <c r="L384" s="28" t="s">
        <v>1102</v>
      </c>
      <c r="M384" s="28" t="s">
        <v>1077</v>
      </c>
      <c r="N384" s="35" t="s">
        <v>1794</v>
      </c>
    </row>
    <row r="385" s="9" customFormat="1" ht="16.5" spans="1:14">
      <c r="A385" s="33" t="s">
        <v>1795</v>
      </c>
      <c r="B385" s="24" t="s">
        <v>1795</v>
      </c>
      <c r="C385" s="24" t="s">
        <v>1795</v>
      </c>
      <c r="D385" s="24" t="s">
        <v>702</v>
      </c>
      <c r="E385" s="24" t="s">
        <v>702</v>
      </c>
      <c r="F385" s="24">
        <v>888888</v>
      </c>
      <c r="G385" s="24">
        <v>888888</v>
      </c>
      <c r="H385" s="37" t="s">
        <v>1796</v>
      </c>
      <c r="I385" s="24"/>
      <c r="J385" s="24"/>
      <c r="K385" s="24" t="s">
        <v>1797</v>
      </c>
      <c r="L385" s="24" t="s">
        <v>1082</v>
      </c>
      <c r="M385" s="24" t="s">
        <v>1077</v>
      </c>
      <c r="N385" s="34">
        <v>27577</v>
      </c>
    </row>
    <row r="386" s="9" customFormat="1" ht="16.5" spans="1:14">
      <c r="A386" s="33" t="s">
        <v>1798</v>
      </c>
      <c r="B386" s="28" t="s">
        <v>1798</v>
      </c>
      <c r="C386" s="28" t="s">
        <v>1798</v>
      </c>
      <c r="D386" s="28" t="s">
        <v>702</v>
      </c>
      <c r="E386" s="28" t="s">
        <v>702</v>
      </c>
      <c r="F386" s="28">
        <v>888888</v>
      </c>
      <c r="G386" s="28">
        <v>888888</v>
      </c>
      <c r="H386" s="38" t="s">
        <v>1698</v>
      </c>
      <c r="I386" s="28"/>
      <c r="J386" s="28"/>
      <c r="K386" s="28" t="s">
        <v>1699</v>
      </c>
      <c r="L386" s="28" t="s">
        <v>1082</v>
      </c>
      <c r="M386" s="28" t="s">
        <v>1077</v>
      </c>
      <c r="N386" s="35" t="s">
        <v>1799</v>
      </c>
    </row>
    <row r="387" s="9" customFormat="1" ht="16.5" spans="1:14">
      <c r="A387" s="33" t="s">
        <v>1800</v>
      </c>
      <c r="B387" s="24" t="s">
        <v>1800</v>
      </c>
      <c r="C387" s="24" t="s">
        <v>1800</v>
      </c>
      <c r="D387" s="24" t="s">
        <v>702</v>
      </c>
      <c r="E387" s="24" t="s">
        <v>702</v>
      </c>
      <c r="F387" s="24">
        <v>888888</v>
      </c>
      <c r="G387" s="24">
        <v>888888</v>
      </c>
      <c r="H387" s="37" t="s">
        <v>1801</v>
      </c>
      <c r="I387" s="24"/>
      <c r="J387" s="24"/>
      <c r="K387" s="24" t="s">
        <v>1802</v>
      </c>
      <c r="L387" s="24" t="s">
        <v>1087</v>
      </c>
      <c r="M387" s="24" t="s">
        <v>1077</v>
      </c>
      <c r="N387" s="34" t="s">
        <v>1803</v>
      </c>
    </row>
    <row r="388" s="9" customFormat="1" ht="16.5" spans="1:14">
      <c r="A388" s="33" t="s">
        <v>1804</v>
      </c>
      <c r="B388" s="24" t="s">
        <v>1804</v>
      </c>
      <c r="C388" s="24" t="s">
        <v>1804</v>
      </c>
      <c r="D388" s="24" t="s">
        <v>702</v>
      </c>
      <c r="E388" s="24" t="s">
        <v>702</v>
      </c>
      <c r="F388" s="24">
        <v>888888</v>
      </c>
      <c r="G388" s="24">
        <v>888888</v>
      </c>
      <c r="H388" s="37" t="s">
        <v>1805</v>
      </c>
      <c r="I388" s="24"/>
      <c r="J388" s="24"/>
      <c r="K388" s="24" t="s">
        <v>1806</v>
      </c>
      <c r="L388" s="24" t="s">
        <v>1253</v>
      </c>
      <c r="M388" s="24" t="s">
        <v>1077</v>
      </c>
      <c r="N388" s="34">
        <v>22406</v>
      </c>
    </row>
    <row r="389" s="9" customFormat="1" ht="16.5" spans="1:14">
      <c r="A389" s="33" t="s">
        <v>1807</v>
      </c>
      <c r="B389" s="28" t="s">
        <v>1807</v>
      </c>
      <c r="C389" s="28" t="s">
        <v>1807</v>
      </c>
      <c r="D389" s="28" t="s">
        <v>702</v>
      </c>
      <c r="E389" s="28" t="s">
        <v>702</v>
      </c>
      <c r="F389" s="28">
        <v>888888</v>
      </c>
      <c r="G389" s="28">
        <v>888888</v>
      </c>
      <c r="H389" s="38" t="s">
        <v>1808</v>
      </c>
      <c r="I389" s="28"/>
      <c r="J389" s="28"/>
      <c r="K389" s="28" t="s">
        <v>1809</v>
      </c>
      <c r="L389" s="28" t="s">
        <v>1193</v>
      </c>
      <c r="M389" s="28" t="s">
        <v>1077</v>
      </c>
      <c r="N389" s="35" t="s">
        <v>1810</v>
      </c>
    </row>
    <row r="390" s="9" customFormat="1" ht="17.25" spans="1:14">
      <c r="A390" s="39" t="s">
        <v>1811</v>
      </c>
      <c r="B390" s="40" t="s">
        <v>1811</v>
      </c>
      <c r="C390" s="40" t="s">
        <v>1812</v>
      </c>
      <c r="D390" s="41" t="s">
        <v>702</v>
      </c>
      <c r="E390" s="41" t="s">
        <v>702</v>
      </c>
      <c r="F390" s="41">
        <v>888888</v>
      </c>
      <c r="G390" s="41">
        <v>888888</v>
      </c>
      <c r="H390" s="40" t="s">
        <v>1813</v>
      </c>
      <c r="I390" s="40"/>
      <c r="J390" s="40"/>
      <c r="K390" s="40" t="s">
        <v>1111</v>
      </c>
      <c r="L390" s="40" t="s">
        <v>1112</v>
      </c>
      <c r="M390" s="41" t="s">
        <v>1077</v>
      </c>
      <c r="N390" s="42" t="s">
        <v>1812</v>
      </c>
    </row>
    <row r="391" s="9" customFormat="1" ht="16.5" spans="1:14">
      <c r="A391" s="33" t="s">
        <v>1814</v>
      </c>
      <c r="B391" s="28" t="s">
        <v>1814</v>
      </c>
      <c r="C391" s="28" t="s">
        <v>1814</v>
      </c>
      <c r="D391" s="28" t="s">
        <v>702</v>
      </c>
      <c r="E391" s="28" t="s">
        <v>702</v>
      </c>
      <c r="F391" s="28"/>
      <c r="G391" s="28"/>
      <c r="H391" s="38" t="s">
        <v>1815</v>
      </c>
      <c r="I391" s="28"/>
      <c r="J391" s="28"/>
      <c r="K391" s="28" t="s">
        <v>1816</v>
      </c>
      <c r="L391" s="28" t="s">
        <v>993</v>
      </c>
      <c r="M391" s="28" t="s">
        <v>1077</v>
      </c>
      <c r="N391" s="35" t="s">
        <v>1817</v>
      </c>
    </row>
    <row r="392" s="9" customFormat="1" ht="17.25" spans="1:14">
      <c r="A392" s="39" t="s">
        <v>1818</v>
      </c>
      <c r="B392" s="40" t="s">
        <v>1818</v>
      </c>
      <c r="C392" s="40" t="s">
        <v>702</v>
      </c>
      <c r="D392" s="41" t="s">
        <v>702</v>
      </c>
      <c r="E392" s="41" t="s">
        <v>702</v>
      </c>
      <c r="F392" s="41" t="s">
        <v>1819</v>
      </c>
      <c r="G392" s="41"/>
      <c r="H392" s="40" t="s">
        <v>1820</v>
      </c>
      <c r="I392" s="40"/>
      <c r="J392" s="40"/>
      <c r="K392" s="40" t="s">
        <v>1655</v>
      </c>
      <c r="L392" s="40" t="s">
        <v>1656</v>
      </c>
      <c r="M392" s="41" t="s">
        <v>1077</v>
      </c>
      <c r="N392" s="42" t="s">
        <v>1821</v>
      </c>
    </row>
    <row r="393" s="9" customFormat="1" ht="16.5" spans="1:14">
      <c r="A393" s="33" t="s">
        <v>1822</v>
      </c>
      <c r="B393" s="28" t="s">
        <v>1822</v>
      </c>
      <c r="C393" s="28" t="s">
        <v>1822</v>
      </c>
      <c r="D393" s="28" t="s">
        <v>702</v>
      </c>
      <c r="E393" s="28" t="s">
        <v>702</v>
      </c>
      <c r="F393" s="28" t="s">
        <v>1819</v>
      </c>
      <c r="G393" s="28"/>
      <c r="H393" s="38" t="s">
        <v>1823</v>
      </c>
      <c r="I393" s="28"/>
      <c r="J393" s="28"/>
      <c r="K393" s="28" t="s">
        <v>1788</v>
      </c>
      <c r="L393" s="28" t="s">
        <v>1154</v>
      </c>
      <c r="M393" s="28" t="s">
        <v>1077</v>
      </c>
      <c r="N393" s="35" t="s">
        <v>1824</v>
      </c>
    </row>
    <row r="394" s="9" customFormat="1" ht="17.25" spans="1:14">
      <c r="A394" s="39" t="s">
        <v>1825</v>
      </c>
      <c r="B394" s="40" t="s">
        <v>1825</v>
      </c>
      <c r="C394" s="40" t="s">
        <v>1825</v>
      </c>
      <c r="D394" s="41" t="s">
        <v>702</v>
      </c>
      <c r="E394" s="41" t="s">
        <v>702</v>
      </c>
      <c r="F394" s="41"/>
      <c r="G394" s="41"/>
      <c r="H394" s="40" t="s">
        <v>1826</v>
      </c>
      <c r="I394" s="40"/>
      <c r="J394" s="40"/>
      <c r="K394" s="40" t="s">
        <v>1827</v>
      </c>
      <c r="L394" s="40" t="s">
        <v>1513</v>
      </c>
      <c r="M394" s="41" t="s">
        <v>1077</v>
      </c>
      <c r="N394" s="42" t="s">
        <v>1828</v>
      </c>
    </row>
    <row r="395" s="9" customFormat="1" ht="16.5" spans="1:14">
      <c r="A395" s="33" t="s">
        <v>1829</v>
      </c>
      <c r="B395" s="28" t="s">
        <v>1829</v>
      </c>
      <c r="C395" s="28" t="s">
        <v>1829</v>
      </c>
      <c r="D395" s="28" t="s">
        <v>702</v>
      </c>
      <c r="E395" s="28" t="s">
        <v>702</v>
      </c>
      <c r="F395" s="28"/>
      <c r="G395" s="28"/>
      <c r="H395" s="38" t="s">
        <v>1830</v>
      </c>
      <c r="I395" s="28"/>
      <c r="J395" s="28"/>
      <c r="K395" s="28" t="s">
        <v>1831</v>
      </c>
      <c r="L395" s="28" t="s">
        <v>1832</v>
      </c>
      <c r="M395" s="28" t="s">
        <v>1077</v>
      </c>
      <c r="N395" s="35" t="s">
        <v>1833</v>
      </c>
    </row>
    <row r="396" s="9" customFormat="1" ht="17.25" spans="1:14">
      <c r="A396" s="39" t="s">
        <v>1834</v>
      </c>
      <c r="B396" s="40" t="s">
        <v>1834</v>
      </c>
      <c r="C396" s="40" t="s">
        <v>1834</v>
      </c>
      <c r="D396" s="41" t="s">
        <v>702</v>
      </c>
      <c r="E396" s="41" t="s">
        <v>702</v>
      </c>
      <c r="F396" s="41" t="s">
        <v>1835</v>
      </c>
      <c r="G396" s="41" t="s">
        <v>1835</v>
      </c>
      <c r="H396" s="40" t="s">
        <v>1836</v>
      </c>
      <c r="I396" s="40"/>
      <c r="J396" s="40"/>
      <c r="K396" s="40" t="s">
        <v>1837</v>
      </c>
      <c r="L396" s="40" t="s">
        <v>1082</v>
      </c>
      <c r="M396" s="41" t="s">
        <v>1077</v>
      </c>
      <c r="N396" s="42" t="s">
        <v>1838</v>
      </c>
    </row>
    <row r="397" s="9" customFormat="1" ht="16.5" spans="1:14">
      <c r="A397" s="33" t="s">
        <v>1839</v>
      </c>
      <c r="B397" s="28" t="s">
        <v>1839</v>
      </c>
      <c r="C397" s="28" t="s">
        <v>1839</v>
      </c>
      <c r="D397" s="28" t="s">
        <v>702</v>
      </c>
      <c r="E397" s="28" t="s">
        <v>702</v>
      </c>
      <c r="F397" s="28" t="s">
        <v>1835</v>
      </c>
      <c r="G397" s="28" t="s">
        <v>1835</v>
      </c>
      <c r="H397" s="38" t="s">
        <v>1840</v>
      </c>
      <c r="I397" s="28"/>
      <c r="J397" s="28"/>
      <c r="K397" s="28" t="s">
        <v>1685</v>
      </c>
      <c r="L397" s="28" t="s">
        <v>993</v>
      </c>
      <c r="M397" s="28" t="s">
        <v>1077</v>
      </c>
      <c r="N397" s="35" t="s">
        <v>1841</v>
      </c>
    </row>
    <row r="398" s="9" customFormat="1" ht="17.25" spans="1:14">
      <c r="A398" s="39" t="s">
        <v>1842</v>
      </c>
      <c r="B398" s="40" t="s">
        <v>1842</v>
      </c>
      <c r="C398" s="40" t="s">
        <v>1842</v>
      </c>
      <c r="D398" s="41" t="s">
        <v>702</v>
      </c>
      <c r="E398" s="41" t="s">
        <v>702</v>
      </c>
      <c r="F398" s="41" t="s">
        <v>1835</v>
      </c>
      <c r="G398" s="41" t="s">
        <v>1835</v>
      </c>
      <c r="H398" s="40" t="s">
        <v>1843</v>
      </c>
      <c r="I398" s="40"/>
      <c r="J398" s="40"/>
      <c r="K398" s="40" t="s">
        <v>1844</v>
      </c>
      <c r="L398" s="40" t="s">
        <v>1154</v>
      </c>
      <c r="M398" s="41" t="s">
        <v>1077</v>
      </c>
      <c r="N398" s="42" t="s">
        <v>1845</v>
      </c>
    </row>
    <row r="399" s="9" customFormat="1" ht="16.5" spans="1:14">
      <c r="A399" s="33" t="s">
        <v>1846</v>
      </c>
      <c r="B399" s="28" t="s">
        <v>1846</v>
      </c>
      <c r="C399" s="28" t="s">
        <v>1846</v>
      </c>
      <c r="D399" s="28" t="s">
        <v>702</v>
      </c>
      <c r="E399" s="28" t="s">
        <v>702</v>
      </c>
      <c r="F399" s="28" t="s">
        <v>1835</v>
      </c>
      <c r="G399" s="28" t="s">
        <v>1835</v>
      </c>
      <c r="H399" s="38" t="s">
        <v>1847</v>
      </c>
      <c r="I399" s="28"/>
      <c r="J399" s="28"/>
      <c r="K399" s="28" t="s">
        <v>1848</v>
      </c>
      <c r="L399" s="28" t="s">
        <v>1258</v>
      </c>
      <c r="M399" s="28" t="s">
        <v>1077</v>
      </c>
      <c r="N399" s="35" t="s">
        <v>1266</v>
      </c>
    </row>
    <row r="400" s="9" customFormat="1" ht="17.25" spans="1:14">
      <c r="A400" s="39" t="s">
        <v>1849</v>
      </c>
      <c r="B400" s="40" t="s">
        <v>1849</v>
      </c>
      <c r="C400" s="40" t="s">
        <v>1849</v>
      </c>
      <c r="D400" s="41" t="s">
        <v>702</v>
      </c>
      <c r="E400" s="41" t="s">
        <v>702</v>
      </c>
      <c r="F400" s="41" t="s">
        <v>1835</v>
      </c>
      <c r="G400" s="41" t="s">
        <v>1835</v>
      </c>
      <c r="H400" s="40" t="s">
        <v>1850</v>
      </c>
      <c r="I400" s="40"/>
      <c r="J400" s="40"/>
      <c r="K400" s="40" t="s">
        <v>1851</v>
      </c>
      <c r="L400" s="40" t="s">
        <v>1184</v>
      </c>
      <c r="M400" s="41" t="s">
        <v>1077</v>
      </c>
      <c r="N400" s="42" t="s">
        <v>1852</v>
      </c>
    </row>
    <row r="401" s="9" customFormat="1" ht="16.5" spans="1:14">
      <c r="A401" s="33" t="s">
        <v>1853</v>
      </c>
      <c r="B401" s="28" t="s">
        <v>1853</v>
      </c>
      <c r="C401" s="28" t="s">
        <v>1853</v>
      </c>
      <c r="D401" s="28" t="s">
        <v>702</v>
      </c>
      <c r="E401" s="28" t="s">
        <v>702</v>
      </c>
      <c r="F401" s="28" t="s">
        <v>1835</v>
      </c>
      <c r="G401" s="28" t="s">
        <v>1835</v>
      </c>
      <c r="H401" s="38" t="s">
        <v>1854</v>
      </c>
      <c r="I401" s="28"/>
      <c r="J401" s="28"/>
      <c r="K401" s="28" t="s">
        <v>1855</v>
      </c>
      <c r="L401" s="28" t="s">
        <v>1140</v>
      </c>
      <c r="M401" s="28" t="s">
        <v>1077</v>
      </c>
      <c r="N401" s="35" t="s">
        <v>1856</v>
      </c>
    </row>
    <row r="402" s="9" customFormat="1" ht="17.25" spans="1:14">
      <c r="A402" s="39" t="s">
        <v>1857</v>
      </c>
      <c r="B402" s="40" t="s">
        <v>1857</v>
      </c>
      <c r="C402" s="40" t="s">
        <v>1857</v>
      </c>
      <c r="D402" s="41" t="s">
        <v>702</v>
      </c>
      <c r="E402" s="41" t="s">
        <v>702</v>
      </c>
      <c r="F402" s="41" t="s">
        <v>1835</v>
      </c>
      <c r="G402" s="41" t="s">
        <v>1835</v>
      </c>
      <c r="H402" s="40" t="s">
        <v>1858</v>
      </c>
      <c r="I402" s="40"/>
      <c r="J402" s="40"/>
      <c r="K402" s="40" t="s">
        <v>1859</v>
      </c>
      <c r="L402" s="40" t="s">
        <v>1131</v>
      </c>
      <c r="M402" s="41" t="s">
        <v>1077</v>
      </c>
      <c r="N402" s="42" t="s">
        <v>1860</v>
      </c>
    </row>
    <row r="403" s="9" customFormat="1" ht="16.5" spans="1:14">
      <c r="A403" s="33" t="s">
        <v>1861</v>
      </c>
      <c r="B403" s="28" t="s">
        <v>1861</v>
      </c>
      <c r="C403" s="28" t="s">
        <v>1861</v>
      </c>
      <c r="D403" s="28" t="s">
        <v>702</v>
      </c>
      <c r="E403" s="28" t="s">
        <v>702</v>
      </c>
      <c r="F403" s="28" t="s">
        <v>1835</v>
      </c>
      <c r="G403" s="28" t="s">
        <v>1835</v>
      </c>
      <c r="H403" s="38" t="s">
        <v>1862</v>
      </c>
      <c r="I403" s="28"/>
      <c r="J403" s="28"/>
      <c r="K403" s="28" t="s">
        <v>1863</v>
      </c>
      <c r="L403" s="28" t="s">
        <v>1376</v>
      </c>
      <c r="M403" s="28" t="s">
        <v>1077</v>
      </c>
      <c r="N403" s="35" t="s">
        <v>1864</v>
      </c>
    </row>
    <row r="404" s="9" customFormat="1" ht="17.25" spans="1:14">
      <c r="A404" s="39" t="s">
        <v>1865</v>
      </c>
      <c r="B404" s="40" t="s">
        <v>1865</v>
      </c>
      <c r="C404" s="40" t="s">
        <v>1865</v>
      </c>
      <c r="D404" s="41" t="s">
        <v>702</v>
      </c>
      <c r="E404" s="41" t="s">
        <v>702</v>
      </c>
      <c r="F404" s="41" t="s">
        <v>1835</v>
      </c>
      <c r="G404" s="41" t="s">
        <v>1835</v>
      </c>
      <c r="H404" s="40" t="s">
        <v>1866</v>
      </c>
      <c r="I404" s="40"/>
      <c r="J404" s="40"/>
      <c r="K404" s="40" t="s">
        <v>1867</v>
      </c>
      <c r="L404" s="40" t="s">
        <v>1117</v>
      </c>
      <c r="M404" s="41" t="s">
        <v>1077</v>
      </c>
      <c r="N404" s="42" t="s">
        <v>1868</v>
      </c>
    </row>
    <row r="405" s="9" customFormat="1" ht="16.5" spans="1:14">
      <c r="A405" s="33" t="s">
        <v>1869</v>
      </c>
      <c r="B405" s="28" t="s">
        <v>1869</v>
      </c>
      <c r="C405" s="28" t="s">
        <v>1869</v>
      </c>
      <c r="D405" s="28" t="s">
        <v>702</v>
      </c>
      <c r="E405" s="28" t="s">
        <v>702</v>
      </c>
      <c r="F405" s="28" t="s">
        <v>1835</v>
      </c>
      <c r="G405" s="28" t="s">
        <v>1835</v>
      </c>
      <c r="H405" s="38" t="s">
        <v>1870</v>
      </c>
      <c r="I405" s="28"/>
      <c r="J405" s="28"/>
      <c r="K405" s="28" t="s">
        <v>1871</v>
      </c>
      <c r="L405" s="28" t="s">
        <v>1097</v>
      </c>
      <c r="M405" s="28" t="s">
        <v>1077</v>
      </c>
      <c r="N405" s="35" t="s">
        <v>1872</v>
      </c>
    </row>
    <row r="406" s="9" customFormat="1" ht="17.25" spans="1:14">
      <c r="A406" s="39" t="s">
        <v>1873</v>
      </c>
      <c r="B406" s="40" t="s">
        <v>1873</v>
      </c>
      <c r="C406" s="40" t="s">
        <v>1873</v>
      </c>
      <c r="D406" s="41" t="s">
        <v>702</v>
      </c>
      <c r="E406" s="41" t="s">
        <v>702</v>
      </c>
      <c r="F406" s="41" t="s">
        <v>1835</v>
      </c>
      <c r="G406" s="41" t="s">
        <v>1835</v>
      </c>
      <c r="H406" s="40" t="s">
        <v>1874</v>
      </c>
      <c r="I406" s="40"/>
      <c r="J406" s="40"/>
      <c r="K406" s="40" t="s">
        <v>1875</v>
      </c>
      <c r="L406" s="40" t="s">
        <v>1117</v>
      </c>
      <c r="M406" s="41" t="s">
        <v>1077</v>
      </c>
      <c r="N406" s="42" t="s">
        <v>1876</v>
      </c>
    </row>
    <row r="407" s="9" customFormat="1" ht="16.5" spans="1:14">
      <c r="A407" s="33" t="s">
        <v>1877</v>
      </c>
      <c r="B407" s="28" t="s">
        <v>1877</v>
      </c>
      <c r="C407" s="28" t="s">
        <v>1877</v>
      </c>
      <c r="D407" s="28" t="s">
        <v>702</v>
      </c>
      <c r="E407" s="28" t="s">
        <v>702</v>
      </c>
      <c r="F407" s="28" t="s">
        <v>1835</v>
      </c>
      <c r="G407" s="28" t="s">
        <v>1835</v>
      </c>
      <c r="H407" s="38" t="s">
        <v>1878</v>
      </c>
      <c r="I407" s="28"/>
      <c r="J407" s="28"/>
      <c r="K407" s="28" t="s">
        <v>1580</v>
      </c>
      <c r="L407" s="28" t="s">
        <v>993</v>
      </c>
      <c r="M407" s="28" t="s">
        <v>1077</v>
      </c>
      <c r="N407" s="35" t="s">
        <v>1879</v>
      </c>
    </row>
    <row r="408" s="9" customFormat="1" ht="17.25" spans="1:14">
      <c r="A408" s="39" t="s">
        <v>1880</v>
      </c>
      <c r="B408" s="40" t="s">
        <v>1880</v>
      </c>
      <c r="C408" s="40" t="s">
        <v>1880</v>
      </c>
      <c r="D408" s="41" t="s">
        <v>702</v>
      </c>
      <c r="E408" s="41" t="s">
        <v>702</v>
      </c>
      <c r="F408" s="41" t="s">
        <v>1835</v>
      </c>
      <c r="G408" s="41" t="s">
        <v>1835</v>
      </c>
      <c r="H408" s="40" t="s">
        <v>1881</v>
      </c>
      <c r="I408" s="40"/>
      <c r="J408" s="40"/>
      <c r="K408" s="40" t="s">
        <v>1882</v>
      </c>
      <c r="L408" s="40" t="s">
        <v>1097</v>
      </c>
      <c r="M408" s="41" t="s">
        <v>1077</v>
      </c>
      <c r="N408" s="42" t="s">
        <v>1883</v>
      </c>
    </row>
    <row r="409" s="9" customFormat="1" ht="16.5" spans="1:14">
      <c r="A409" s="33" t="s">
        <v>1884</v>
      </c>
      <c r="B409" s="28" t="s">
        <v>1884</v>
      </c>
      <c r="C409" s="28" t="s">
        <v>1884</v>
      </c>
      <c r="D409" s="28" t="s">
        <v>702</v>
      </c>
      <c r="E409" s="28" t="s">
        <v>702</v>
      </c>
      <c r="F409" s="28">
        <v>888888</v>
      </c>
      <c r="G409" s="28">
        <v>888888</v>
      </c>
      <c r="H409" s="38" t="s">
        <v>1885</v>
      </c>
      <c r="I409" s="28"/>
      <c r="J409" s="28"/>
      <c r="K409" s="28" t="s">
        <v>1886</v>
      </c>
      <c r="L409" s="28" t="s">
        <v>993</v>
      </c>
      <c r="M409" s="28" t="s">
        <v>1077</v>
      </c>
      <c r="N409" s="35">
        <v>92344</v>
      </c>
    </row>
    <row r="410" s="9" customFormat="1" ht="17.25" spans="1:14">
      <c r="A410" s="39" t="s">
        <v>1887</v>
      </c>
      <c r="B410" s="40" t="s">
        <v>1887</v>
      </c>
      <c r="C410" s="40" t="s">
        <v>1887</v>
      </c>
      <c r="D410" s="41" t="s">
        <v>702</v>
      </c>
      <c r="E410" s="41" t="s">
        <v>702</v>
      </c>
      <c r="F410" s="41">
        <v>888888</v>
      </c>
      <c r="G410" s="41">
        <v>888888</v>
      </c>
      <c r="H410" s="40" t="s">
        <v>1888</v>
      </c>
      <c r="I410" s="40"/>
      <c r="J410" s="40"/>
      <c r="K410" s="40" t="s">
        <v>1889</v>
      </c>
      <c r="L410" s="40" t="s">
        <v>1117</v>
      </c>
      <c r="M410" s="41" t="s">
        <v>1077</v>
      </c>
      <c r="N410" s="42">
        <v>17057</v>
      </c>
    </row>
    <row r="411" s="9" customFormat="1" ht="16.5" spans="1:14">
      <c r="A411" s="33" t="s">
        <v>1890</v>
      </c>
      <c r="B411" s="28" t="s">
        <v>1890</v>
      </c>
      <c r="C411" s="28" t="s">
        <v>1890</v>
      </c>
      <c r="D411" s="28" t="s">
        <v>702</v>
      </c>
      <c r="E411" s="28" t="s">
        <v>702</v>
      </c>
      <c r="F411" s="28">
        <v>888888</v>
      </c>
      <c r="G411" s="28">
        <v>888888</v>
      </c>
      <c r="H411" s="38" t="s">
        <v>1891</v>
      </c>
      <c r="I411" s="28"/>
      <c r="J411" s="28"/>
      <c r="K411" s="28" t="s">
        <v>1705</v>
      </c>
      <c r="L411" s="28" t="s">
        <v>1258</v>
      </c>
      <c r="M411" s="28" t="s">
        <v>1077</v>
      </c>
      <c r="N411" s="35" t="s">
        <v>1892</v>
      </c>
    </row>
    <row r="412" s="9" customFormat="1" ht="17.25" spans="1:14">
      <c r="A412" s="39" t="s">
        <v>1893</v>
      </c>
      <c r="B412" s="40" t="s">
        <v>1893</v>
      </c>
      <c r="C412" s="40" t="s">
        <v>1893</v>
      </c>
      <c r="D412" s="41" t="s">
        <v>702</v>
      </c>
      <c r="E412" s="41" t="s">
        <v>702</v>
      </c>
      <c r="F412" s="41">
        <v>888888</v>
      </c>
      <c r="G412" s="41">
        <v>888888</v>
      </c>
      <c r="H412" s="40" t="s">
        <v>1894</v>
      </c>
      <c r="I412" s="40"/>
      <c r="J412" s="40"/>
      <c r="K412" s="40" t="s">
        <v>1496</v>
      </c>
      <c r="L412" s="40" t="s">
        <v>993</v>
      </c>
      <c r="M412" s="41" t="s">
        <v>1077</v>
      </c>
      <c r="N412" s="42" t="s">
        <v>1895</v>
      </c>
    </row>
    <row r="413" s="9" customFormat="1" ht="16.5" spans="1:14">
      <c r="A413" s="33" t="s">
        <v>1896</v>
      </c>
      <c r="B413" s="28" t="s">
        <v>1896</v>
      </c>
      <c r="C413" s="28" t="s">
        <v>1896</v>
      </c>
      <c r="D413" s="28" t="s">
        <v>702</v>
      </c>
      <c r="E413" s="28" t="s">
        <v>702</v>
      </c>
      <c r="F413" s="28">
        <v>888888</v>
      </c>
      <c r="G413" s="28">
        <v>888888</v>
      </c>
      <c r="H413" s="38" t="s">
        <v>1897</v>
      </c>
      <c r="I413" s="28"/>
      <c r="J413" s="28"/>
      <c r="K413" s="28" t="s">
        <v>1744</v>
      </c>
      <c r="L413" s="28" t="s">
        <v>993</v>
      </c>
      <c r="M413" s="28" t="s">
        <v>1077</v>
      </c>
      <c r="N413" s="35">
        <v>93263</v>
      </c>
    </row>
    <row r="414" s="9" customFormat="1" ht="17.25" spans="1:14">
      <c r="A414" s="39" t="s">
        <v>1898</v>
      </c>
      <c r="B414" s="40" t="s">
        <v>1898</v>
      </c>
      <c r="C414" s="40" t="s">
        <v>1898</v>
      </c>
      <c r="D414" s="41" t="s">
        <v>702</v>
      </c>
      <c r="E414" s="41" t="s">
        <v>702</v>
      </c>
      <c r="F414" s="41">
        <v>888888</v>
      </c>
      <c r="G414" s="41">
        <v>888888</v>
      </c>
      <c r="H414" s="40" t="s">
        <v>1899</v>
      </c>
      <c r="I414" s="40"/>
      <c r="J414" s="40"/>
      <c r="K414" s="40" t="s">
        <v>1900</v>
      </c>
      <c r="L414" s="40" t="s">
        <v>1102</v>
      </c>
      <c r="M414" s="41" t="s">
        <v>1077</v>
      </c>
      <c r="N414" s="44">
        <v>85396</v>
      </c>
    </row>
    <row r="415" s="9" customFormat="1" ht="16.5" spans="1:14">
      <c r="A415" s="33" t="s">
        <v>1901</v>
      </c>
      <c r="B415" s="28" t="s">
        <v>1901</v>
      </c>
      <c r="C415" s="28" t="s">
        <v>1901</v>
      </c>
      <c r="D415" s="28" t="s">
        <v>702</v>
      </c>
      <c r="E415" s="28" t="s">
        <v>702</v>
      </c>
      <c r="F415" s="28">
        <v>888888</v>
      </c>
      <c r="G415" s="28">
        <v>888888</v>
      </c>
      <c r="H415" s="38" t="s">
        <v>1902</v>
      </c>
      <c r="I415" s="28"/>
      <c r="J415" s="28"/>
      <c r="K415" s="28" t="s">
        <v>1903</v>
      </c>
      <c r="L415" s="28" t="s">
        <v>1344</v>
      </c>
      <c r="M415" s="28" t="s">
        <v>1077</v>
      </c>
      <c r="N415" s="35" t="s">
        <v>1904</v>
      </c>
    </row>
    <row r="416" s="9" customFormat="1" ht="17.25" spans="1:14">
      <c r="A416" s="39" t="s">
        <v>1905</v>
      </c>
      <c r="B416" s="40" t="s">
        <v>1905</v>
      </c>
      <c r="C416" s="40" t="s">
        <v>1905</v>
      </c>
      <c r="D416" s="41" t="s">
        <v>702</v>
      </c>
      <c r="E416" s="41" t="s">
        <v>702</v>
      </c>
      <c r="F416" s="41">
        <v>888888</v>
      </c>
      <c r="G416" s="41">
        <v>888888</v>
      </c>
      <c r="H416" s="40" t="s">
        <v>1906</v>
      </c>
      <c r="I416" s="40"/>
      <c r="J416" s="40"/>
      <c r="K416" s="40" t="s">
        <v>1517</v>
      </c>
      <c r="L416" s="40" t="s">
        <v>1513</v>
      </c>
      <c r="M416" s="41" t="s">
        <v>1077</v>
      </c>
      <c r="N416" s="42" t="s">
        <v>1907</v>
      </c>
    </row>
    <row r="417" s="9" customFormat="1" ht="16.5" spans="1:14">
      <c r="A417" s="33" t="s">
        <v>1908</v>
      </c>
      <c r="B417" s="28" t="s">
        <v>1908</v>
      </c>
      <c r="C417" s="28" t="s">
        <v>1908</v>
      </c>
      <c r="D417" s="28" t="s">
        <v>702</v>
      </c>
      <c r="E417" s="28" t="s">
        <v>702</v>
      </c>
      <c r="F417" s="28">
        <v>888888</v>
      </c>
      <c r="G417" s="28">
        <v>888888</v>
      </c>
      <c r="H417" s="38" t="s">
        <v>1909</v>
      </c>
      <c r="I417" s="28"/>
      <c r="J417" s="28"/>
      <c r="K417" s="28" t="s">
        <v>1461</v>
      </c>
      <c r="L417" s="28" t="s">
        <v>993</v>
      </c>
      <c r="M417" s="28" t="s">
        <v>1077</v>
      </c>
      <c r="N417" s="35">
        <v>92374</v>
      </c>
    </row>
    <row r="418" s="9" customFormat="1" ht="17.25" spans="1:14">
      <c r="A418" s="39" t="s">
        <v>1910</v>
      </c>
      <c r="B418" s="40" t="s">
        <v>1910</v>
      </c>
      <c r="C418" s="40" t="s">
        <v>1910</v>
      </c>
      <c r="D418" s="41" t="s">
        <v>702</v>
      </c>
      <c r="E418" s="41" t="s">
        <v>702</v>
      </c>
      <c r="F418" s="41">
        <v>888888</v>
      </c>
      <c r="G418" s="41">
        <v>888888</v>
      </c>
      <c r="H418" s="40" t="s">
        <v>1503</v>
      </c>
      <c r="I418" s="40"/>
      <c r="J418" s="40"/>
      <c r="K418" s="40" t="s">
        <v>1504</v>
      </c>
      <c r="L418" s="40" t="s">
        <v>993</v>
      </c>
      <c r="M418" s="41" t="s">
        <v>1077</v>
      </c>
      <c r="N418" s="42" t="s">
        <v>1505</v>
      </c>
    </row>
    <row r="419" s="9" customFormat="1" ht="16.5" spans="1:14">
      <c r="A419" s="33" t="s">
        <v>1911</v>
      </c>
      <c r="B419" s="28" t="s">
        <v>1911</v>
      </c>
      <c r="C419" s="28" t="s">
        <v>1911</v>
      </c>
      <c r="D419" s="28" t="s">
        <v>702</v>
      </c>
      <c r="E419" s="28" t="s">
        <v>702</v>
      </c>
      <c r="F419" s="28">
        <v>888888</v>
      </c>
      <c r="G419" s="28">
        <v>888888</v>
      </c>
      <c r="H419" s="38" t="s">
        <v>1480</v>
      </c>
      <c r="I419" s="28"/>
      <c r="J419" s="28"/>
      <c r="K419" s="28" t="s">
        <v>1477</v>
      </c>
      <c r="L419" s="28" t="s">
        <v>993</v>
      </c>
      <c r="M419" s="28" t="s">
        <v>1077</v>
      </c>
      <c r="N419" s="35">
        <v>92408</v>
      </c>
    </row>
    <row r="420" s="9" customFormat="1" ht="17.25" spans="1:14">
      <c r="A420" s="39" t="s">
        <v>1912</v>
      </c>
      <c r="B420" s="40" t="s">
        <v>1912</v>
      </c>
      <c r="C420" s="40" t="s">
        <v>1912</v>
      </c>
      <c r="D420" s="41" t="s">
        <v>702</v>
      </c>
      <c r="E420" s="41" t="s">
        <v>702</v>
      </c>
      <c r="F420" s="41">
        <v>888888</v>
      </c>
      <c r="G420" s="41">
        <v>888888</v>
      </c>
      <c r="H420" s="40" t="s">
        <v>1913</v>
      </c>
      <c r="I420" s="40"/>
      <c r="J420" s="40"/>
      <c r="K420" s="40" t="s">
        <v>1914</v>
      </c>
      <c r="L420" s="40" t="s">
        <v>993</v>
      </c>
      <c r="M420" s="41" t="s">
        <v>1077</v>
      </c>
      <c r="N420" s="42" t="s">
        <v>1915</v>
      </c>
    </row>
    <row r="421" s="9" customFormat="1" ht="16.5" spans="1:14">
      <c r="A421" s="33" t="s">
        <v>1916</v>
      </c>
      <c r="B421" s="28" t="s">
        <v>1916</v>
      </c>
      <c r="C421" s="28" t="s">
        <v>1916</v>
      </c>
      <c r="D421" s="28" t="s">
        <v>702</v>
      </c>
      <c r="E421" s="28" t="s">
        <v>702</v>
      </c>
      <c r="F421" s="28">
        <v>888888</v>
      </c>
      <c r="G421" s="28">
        <v>888888</v>
      </c>
      <c r="H421" s="38" t="s">
        <v>1917</v>
      </c>
      <c r="I421" s="28"/>
      <c r="J421" s="28"/>
      <c r="K421" s="28" t="s">
        <v>1413</v>
      </c>
      <c r="L421" s="28" t="s">
        <v>1112</v>
      </c>
      <c r="M421" s="28" t="s">
        <v>1077</v>
      </c>
      <c r="N421" s="35">
        <v>75241</v>
      </c>
    </row>
    <row r="422" s="9" customFormat="1" ht="17.25" spans="1:14">
      <c r="A422" s="39" t="s">
        <v>1918</v>
      </c>
      <c r="B422" s="40" t="s">
        <v>1918</v>
      </c>
      <c r="C422" s="40" t="s">
        <v>1918</v>
      </c>
      <c r="D422" s="41" t="s">
        <v>702</v>
      </c>
      <c r="E422" s="41" t="s">
        <v>702</v>
      </c>
      <c r="F422" s="41">
        <v>888888</v>
      </c>
      <c r="G422" s="41">
        <v>888888</v>
      </c>
      <c r="H422" s="40" t="s">
        <v>1919</v>
      </c>
      <c r="I422" s="40"/>
      <c r="J422" s="40"/>
      <c r="K422" s="40" t="s">
        <v>1613</v>
      </c>
      <c r="L422" s="40" t="s">
        <v>1102</v>
      </c>
      <c r="M422" s="41" t="s">
        <v>1077</v>
      </c>
      <c r="N422" s="42">
        <v>85395</v>
      </c>
    </row>
    <row r="423" s="9" customFormat="1" ht="16.5" spans="1:14">
      <c r="A423" s="33" t="s">
        <v>1920</v>
      </c>
      <c r="B423" s="28" t="s">
        <v>1920</v>
      </c>
      <c r="C423" s="28" t="s">
        <v>1920</v>
      </c>
      <c r="D423" s="28" t="s">
        <v>702</v>
      </c>
      <c r="E423" s="28" t="s">
        <v>702</v>
      </c>
      <c r="F423" s="28">
        <v>888888</v>
      </c>
      <c r="G423" s="28">
        <v>888888</v>
      </c>
      <c r="H423" s="38" t="s">
        <v>1921</v>
      </c>
      <c r="I423" s="28"/>
      <c r="J423" s="28"/>
      <c r="K423" s="28" t="s">
        <v>1922</v>
      </c>
      <c r="L423" s="28" t="s">
        <v>1131</v>
      </c>
      <c r="M423" s="28" t="s">
        <v>1077</v>
      </c>
      <c r="N423" s="35">
        <v>37122</v>
      </c>
    </row>
    <row r="424" s="9" customFormat="1" ht="17.25" spans="1:14">
      <c r="A424" s="39" t="s">
        <v>1923</v>
      </c>
      <c r="B424" s="40" t="s">
        <v>1923</v>
      </c>
      <c r="C424" s="40" t="s">
        <v>1923</v>
      </c>
      <c r="D424" s="41" t="s">
        <v>702</v>
      </c>
      <c r="E424" s="41" t="s">
        <v>702</v>
      </c>
      <c r="F424" s="41">
        <v>888888</v>
      </c>
      <c r="G424" s="41">
        <v>888888</v>
      </c>
      <c r="H424" s="40" t="s">
        <v>1924</v>
      </c>
      <c r="I424" s="40"/>
      <c r="J424" s="40"/>
      <c r="K424" s="40" t="s">
        <v>1925</v>
      </c>
      <c r="L424" s="40" t="s">
        <v>1117</v>
      </c>
      <c r="M424" s="41" t="s">
        <v>1077</v>
      </c>
      <c r="N424" s="42">
        <v>18434</v>
      </c>
    </row>
    <row r="425" s="9" customFormat="1" ht="16.5" spans="1:14">
      <c r="A425" s="33" t="s">
        <v>1926</v>
      </c>
      <c r="B425" s="28" t="s">
        <v>1926</v>
      </c>
      <c r="C425" s="28" t="s">
        <v>1926</v>
      </c>
      <c r="D425" s="28" t="s">
        <v>702</v>
      </c>
      <c r="E425" s="28" t="s">
        <v>702</v>
      </c>
      <c r="F425" s="28" t="s">
        <v>1927</v>
      </c>
      <c r="G425" s="28">
        <v>888888</v>
      </c>
      <c r="H425" s="38" t="s">
        <v>1928</v>
      </c>
      <c r="I425" s="28"/>
      <c r="J425" s="28"/>
      <c r="K425" s="28" t="s">
        <v>1929</v>
      </c>
      <c r="L425" s="28" t="s">
        <v>1145</v>
      </c>
      <c r="M425" s="28" t="s">
        <v>1077</v>
      </c>
      <c r="N425" s="35">
        <v>46118</v>
      </c>
    </row>
    <row r="426" s="9" customFormat="1" ht="17.25" spans="1:14">
      <c r="A426" s="39" t="s">
        <v>1930</v>
      </c>
      <c r="B426" s="40" t="s">
        <v>1930</v>
      </c>
      <c r="C426" s="40" t="s">
        <v>1930</v>
      </c>
      <c r="D426" s="41" t="s">
        <v>702</v>
      </c>
      <c r="E426" s="41" t="s">
        <v>702</v>
      </c>
      <c r="F426" s="41">
        <v>888888</v>
      </c>
      <c r="G426" s="41">
        <v>888888</v>
      </c>
      <c r="H426" s="40" t="s">
        <v>1931</v>
      </c>
      <c r="I426" s="40"/>
      <c r="J426" s="40"/>
      <c r="K426" s="40" t="s">
        <v>1932</v>
      </c>
      <c r="L426" s="40" t="s">
        <v>1082</v>
      </c>
      <c r="M426" s="41" t="s">
        <v>1077</v>
      </c>
      <c r="N426" s="42">
        <v>28146</v>
      </c>
    </row>
    <row r="427" s="9" customFormat="1" ht="16.5" spans="1:14">
      <c r="A427" s="33" t="s">
        <v>1933</v>
      </c>
      <c r="B427" s="28" t="s">
        <v>1933</v>
      </c>
      <c r="C427" s="28" t="s">
        <v>1933</v>
      </c>
      <c r="D427" s="28" t="s">
        <v>702</v>
      </c>
      <c r="E427" s="28" t="s">
        <v>702</v>
      </c>
      <c r="F427" s="28" t="s">
        <v>1934</v>
      </c>
      <c r="G427" s="28">
        <v>888888</v>
      </c>
      <c r="H427" s="38" t="s">
        <v>1935</v>
      </c>
      <c r="I427" s="28"/>
      <c r="J427" s="28"/>
      <c r="K427" s="28" t="s">
        <v>1936</v>
      </c>
      <c r="L427" s="28" t="s">
        <v>1140</v>
      </c>
      <c r="M427" s="28" t="s">
        <v>1077</v>
      </c>
      <c r="N427" s="35">
        <v>45377</v>
      </c>
    </row>
    <row r="428" s="9" customFormat="1" ht="17.25" spans="1:14">
      <c r="A428" s="39" t="s">
        <v>1937</v>
      </c>
      <c r="B428" s="40" t="s">
        <v>1937</v>
      </c>
      <c r="C428" s="40" t="s">
        <v>1937</v>
      </c>
      <c r="D428" s="41" t="s">
        <v>702</v>
      </c>
      <c r="E428" s="41" t="s">
        <v>702</v>
      </c>
      <c r="F428" s="41" t="s">
        <v>1938</v>
      </c>
      <c r="G428" s="41">
        <v>888888</v>
      </c>
      <c r="H428" s="40" t="s">
        <v>1939</v>
      </c>
      <c r="I428" s="40"/>
      <c r="J428" s="40"/>
      <c r="K428" s="40" t="s">
        <v>1940</v>
      </c>
      <c r="L428" s="40" t="s">
        <v>1112</v>
      </c>
      <c r="M428" s="41" t="s">
        <v>1077</v>
      </c>
      <c r="N428" s="42">
        <v>75236</v>
      </c>
    </row>
    <row r="429" s="9" customFormat="1" ht="16.5" spans="1:14">
      <c r="A429" s="33" t="s">
        <v>1941</v>
      </c>
      <c r="B429" s="28" t="s">
        <v>1941</v>
      </c>
      <c r="C429" s="28" t="s">
        <v>1941</v>
      </c>
      <c r="D429" s="28" t="s">
        <v>702</v>
      </c>
      <c r="E429" s="28" t="s">
        <v>702</v>
      </c>
      <c r="F429" s="28">
        <v>888888</v>
      </c>
      <c r="G429" s="28">
        <v>888888</v>
      </c>
      <c r="H429" s="38" t="s">
        <v>1942</v>
      </c>
      <c r="I429" s="28"/>
      <c r="J429" s="28"/>
      <c r="K429" s="28" t="s">
        <v>1943</v>
      </c>
      <c r="L429" s="28" t="s">
        <v>1597</v>
      </c>
      <c r="M429" s="28" t="s">
        <v>1077</v>
      </c>
      <c r="N429" s="35">
        <v>64012</v>
      </c>
    </row>
    <row r="430" s="9" customFormat="1" ht="17.25" spans="1:14">
      <c r="A430" s="39" t="s">
        <v>1944</v>
      </c>
      <c r="B430" s="40" t="s">
        <v>1944</v>
      </c>
      <c r="C430" s="40" t="s">
        <v>1944</v>
      </c>
      <c r="D430" s="41" t="s">
        <v>702</v>
      </c>
      <c r="E430" s="41" t="s">
        <v>702</v>
      </c>
      <c r="F430" s="41" t="s">
        <v>1945</v>
      </c>
      <c r="G430" s="41">
        <v>888888</v>
      </c>
      <c r="H430" s="40" t="s">
        <v>1946</v>
      </c>
      <c r="I430" s="40"/>
      <c r="J430" s="40"/>
      <c r="K430" s="40" t="s">
        <v>1446</v>
      </c>
      <c r="L430" s="40" t="s">
        <v>1102</v>
      </c>
      <c r="M430" s="41" t="s">
        <v>1077</v>
      </c>
      <c r="N430" s="42">
        <v>85338</v>
      </c>
    </row>
    <row r="431" s="9" customFormat="1" ht="16.5" spans="1:14">
      <c r="A431" s="33" t="s">
        <v>1947</v>
      </c>
      <c r="B431" s="28" t="s">
        <v>1947</v>
      </c>
      <c r="C431" s="28" t="s">
        <v>1947</v>
      </c>
      <c r="D431" s="28" t="s">
        <v>702</v>
      </c>
      <c r="E431" s="28" t="s">
        <v>702</v>
      </c>
      <c r="F431" s="28">
        <v>888888</v>
      </c>
      <c r="G431" s="28">
        <v>888888</v>
      </c>
      <c r="H431" s="38" t="s">
        <v>1948</v>
      </c>
      <c r="I431" s="28"/>
      <c r="J431" s="28"/>
      <c r="K431" s="28" t="s">
        <v>1949</v>
      </c>
      <c r="L431" s="28" t="s">
        <v>993</v>
      </c>
      <c r="M431" s="28" t="s">
        <v>1077</v>
      </c>
      <c r="N431" s="35">
        <v>92509</v>
      </c>
    </row>
    <row r="432" s="9" customFormat="1" ht="17.25" spans="1:14">
      <c r="A432" s="39" t="s">
        <v>1950</v>
      </c>
      <c r="B432" s="40" t="s">
        <v>1950</v>
      </c>
      <c r="C432" s="40" t="s">
        <v>1950</v>
      </c>
      <c r="D432" s="41" t="s">
        <v>702</v>
      </c>
      <c r="E432" s="41" t="s">
        <v>702</v>
      </c>
      <c r="F432" s="41">
        <v>888888</v>
      </c>
      <c r="G432" s="41">
        <v>888888</v>
      </c>
      <c r="H432" s="40" t="s">
        <v>1951</v>
      </c>
      <c r="I432" s="40"/>
      <c r="J432" s="40"/>
      <c r="K432" s="40" t="s">
        <v>1952</v>
      </c>
      <c r="L432" s="40" t="s">
        <v>1102</v>
      </c>
      <c r="M432" s="41" t="s">
        <v>1077</v>
      </c>
      <c r="N432" s="42">
        <v>85340</v>
      </c>
    </row>
    <row r="433" s="9" customFormat="1" ht="16.5" spans="1:14">
      <c r="A433" s="33" t="s">
        <v>1953</v>
      </c>
      <c r="B433" s="28" t="s">
        <v>1953</v>
      </c>
      <c r="C433" s="28" t="s">
        <v>1953</v>
      </c>
      <c r="D433" s="28" t="s">
        <v>702</v>
      </c>
      <c r="E433" s="28" t="s">
        <v>702</v>
      </c>
      <c r="F433" s="28">
        <v>888888</v>
      </c>
      <c r="G433" s="28">
        <v>888888</v>
      </c>
      <c r="H433" s="38" t="s">
        <v>1954</v>
      </c>
      <c r="I433" s="28"/>
      <c r="J433" s="28"/>
      <c r="K433" s="28" t="s">
        <v>1776</v>
      </c>
      <c r="L433" s="28" t="s">
        <v>993</v>
      </c>
      <c r="M433" s="28" t="s">
        <v>1077</v>
      </c>
      <c r="N433" s="35">
        <v>92336</v>
      </c>
    </row>
    <row r="434" s="9" customFormat="1" ht="17.25" spans="1:14">
      <c r="A434" s="39" t="s">
        <v>1955</v>
      </c>
      <c r="B434" s="40" t="s">
        <v>1955</v>
      </c>
      <c r="C434" s="40" t="s">
        <v>1955</v>
      </c>
      <c r="D434" s="41" t="s">
        <v>702</v>
      </c>
      <c r="E434" s="41" t="s">
        <v>702</v>
      </c>
      <c r="F434" s="41">
        <v>888888</v>
      </c>
      <c r="G434" s="41">
        <v>888888</v>
      </c>
      <c r="H434" s="40" t="s">
        <v>1956</v>
      </c>
      <c r="I434" s="40"/>
      <c r="J434" s="40"/>
      <c r="K434" s="40" t="s">
        <v>1957</v>
      </c>
      <c r="L434" s="40" t="s">
        <v>993</v>
      </c>
      <c r="M434" s="41" t="s">
        <v>1077</v>
      </c>
      <c r="N434" s="42">
        <v>91761</v>
      </c>
    </row>
    <row r="435" s="9" customFormat="1" ht="16.5" spans="1:14">
      <c r="A435" s="33" t="s">
        <v>1958</v>
      </c>
      <c r="B435" s="28" t="s">
        <v>1958</v>
      </c>
      <c r="C435" s="28" t="s">
        <v>1958</v>
      </c>
      <c r="D435" s="28" t="s">
        <v>702</v>
      </c>
      <c r="E435" s="28" t="s">
        <v>702</v>
      </c>
      <c r="F435" s="28">
        <v>888888</v>
      </c>
      <c r="G435" s="28">
        <v>888888</v>
      </c>
      <c r="H435" s="38" t="s">
        <v>1959</v>
      </c>
      <c r="I435" s="28"/>
      <c r="J435" s="28"/>
      <c r="K435" s="28" t="s">
        <v>1960</v>
      </c>
      <c r="L435" s="28" t="s">
        <v>993</v>
      </c>
      <c r="M435" s="28" t="s">
        <v>1077</v>
      </c>
      <c r="N435" s="35">
        <v>95206</v>
      </c>
    </row>
    <row r="436" s="9" customFormat="1" ht="17.25" spans="1:14">
      <c r="A436" s="39" t="s">
        <v>1961</v>
      </c>
      <c r="B436" s="40" t="s">
        <v>1961</v>
      </c>
      <c r="C436" s="40" t="s">
        <v>1961</v>
      </c>
      <c r="D436" s="41" t="s">
        <v>702</v>
      </c>
      <c r="E436" s="41" t="s">
        <v>702</v>
      </c>
      <c r="F436" s="41">
        <v>888888</v>
      </c>
      <c r="G436" s="41">
        <v>888888</v>
      </c>
      <c r="H436" s="40" t="s">
        <v>1962</v>
      </c>
      <c r="I436" s="40"/>
      <c r="J436" s="40"/>
      <c r="K436" s="40" t="s">
        <v>1963</v>
      </c>
      <c r="L436" s="40" t="s">
        <v>993</v>
      </c>
      <c r="M436" s="41" t="s">
        <v>1077</v>
      </c>
      <c r="N436" s="42">
        <v>95023</v>
      </c>
    </row>
    <row r="437" s="9" customFormat="1" ht="16.5" spans="1:14">
      <c r="A437" s="33" t="s">
        <v>1964</v>
      </c>
      <c r="B437" s="28" t="s">
        <v>1964</v>
      </c>
      <c r="C437" s="28" t="s">
        <v>1964</v>
      </c>
      <c r="D437" s="28" t="s">
        <v>702</v>
      </c>
      <c r="E437" s="28" t="s">
        <v>702</v>
      </c>
      <c r="F437" s="28">
        <v>888888</v>
      </c>
      <c r="G437" s="28">
        <v>888888</v>
      </c>
      <c r="H437" s="38" t="s">
        <v>1965</v>
      </c>
      <c r="I437" s="28"/>
      <c r="J437" s="28"/>
      <c r="K437" s="28" t="s">
        <v>1960</v>
      </c>
      <c r="L437" s="28" t="s">
        <v>993</v>
      </c>
      <c r="M437" s="28" t="s">
        <v>1077</v>
      </c>
      <c r="N437" s="35">
        <v>95215</v>
      </c>
    </row>
    <row r="438" s="9" customFormat="1" ht="17.25" spans="1:14">
      <c r="A438" s="39" t="s">
        <v>1966</v>
      </c>
      <c r="B438" s="40" t="s">
        <v>1966</v>
      </c>
      <c r="C438" s="40" t="s">
        <v>1966</v>
      </c>
      <c r="D438" s="41" t="s">
        <v>702</v>
      </c>
      <c r="E438" s="41" t="s">
        <v>702</v>
      </c>
      <c r="F438" s="41">
        <v>888888</v>
      </c>
      <c r="G438" s="41">
        <v>888888</v>
      </c>
      <c r="H438" s="40" t="s">
        <v>1967</v>
      </c>
      <c r="I438" s="40"/>
      <c r="J438" s="40"/>
      <c r="K438" s="40" t="s">
        <v>1968</v>
      </c>
      <c r="L438" s="40" t="s">
        <v>1145</v>
      </c>
      <c r="M438" s="41" t="s">
        <v>1077</v>
      </c>
      <c r="N438" s="42">
        <v>46410</v>
      </c>
    </row>
    <row r="439" s="9" customFormat="1" ht="16.5" spans="1:14">
      <c r="A439" s="33" t="s">
        <v>1969</v>
      </c>
      <c r="B439" s="28" t="s">
        <v>1969</v>
      </c>
      <c r="C439" s="28" t="s">
        <v>1969</v>
      </c>
      <c r="D439" s="28" t="s">
        <v>702</v>
      </c>
      <c r="E439" s="28" t="s">
        <v>702</v>
      </c>
      <c r="F439" s="28">
        <v>888888</v>
      </c>
      <c r="G439" s="28">
        <v>888888</v>
      </c>
      <c r="H439" s="38" t="s">
        <v>1970</v>
      </c>
      <c r="I439" s="28"/>
      <c r="J439" s="28"/>
      <c r="K439" s="28" t="s">
        <v>1166</v>
      </c>
      <c r="L439" s="28" t="s">
        <v>1092</v>
      </c>
      <c r="M439" s="28" t="s">
        <v>1077</v>
      </c>
      <c r="N439" s="35">
        <v>89506</v>
      </c>
    </row>
    <row r="440" s="9" customFormat="1" ht="17.25" spans="1:14">
      <c r="A440" s="39" t="s">
        <v>1971</v>
      </c>
      <c r="B440" s="40" t="s">
        <v>1971</v>
      </c>
      <c r="C440" s="40" t="s">
        <v>1971</v>
      </c>
      <c r="D440" s="41" t="s">
        <v>702</v>
      </c>
      <c r="E440" s="41" t="s">
        <v>702</v>
      </c>
      <c r="F440" s="41" t="s">
        <v>702</v>
      </c>
      <c r="G440" s="41" t="s">
        <v>702</v>
      </c>
      <c r="H440" s="40" t="s">
        <v>1972</v>
      </c>
      <c r="I440" s="40"/>
      <c r="J440" s="40"/>
      <c r="K440" s="40" t="s">
        <v>1973</v>
      </c>
      <c r="L440" s="40" t="s">
        <v>1097</v>
      </c>
      <c r="M440" s="41" t="s">
        <v>1077</v>
      </c>
      <c r="N440" s="42">
        <v>33055</v>
      </c>
    </row>
    <row r="441" s="9" customFormat="1" ht="17.25" spans="1:14">
      <c r="A441" s="45" t="s">
        <v>1974</v>
      </c>
      <c r="B441" s="46" t="s">
        <v>1974</v>
      </c>
      <c r="C441" s="46" t="s">
        <v>1974</v>
      </c>
      <c r="D441" s="41" t="s">
        <v>702</v>
      </c>
      <c r="E441" s="41" t="s">
        <v>702</v>
      </c>
      <c r="F441" s="41" t="s">
        <v>702</v>
      </c>
      <c r="G441" s="41" t="s">
        <v>702</v>
      </c>
      <c r="H441" s="46" t="s">
        <v>1975</v>
      </c>
      <c r="I441" s="46"/>
      <c r="J441" s="46"/>
      <c r="K441" s="46" t="s">
        <v>1976</v>
      </c>
      <c r="L441" s="46" t="s">
        <v>1294</v>
      </c>
      <c r="M441" s="47" t="s">
        <v>1077</v>
      </c>
      <c r="N441" s="47">
        <v>31407</v>
      </c>
    </row>
    <row r="442" s="9" customFormat="1" ht="16.5" spans="1:14">
      <c r="A442" s="33" t="s">
        <v>1977</v>
      </c>
      <c r="B442" s="28" t="s">
        <v>1977</v>
      </c>
      <c r="C442" s="28" t="s">
        <v>1977</v>
      </c>
      <c r="D442" s="28" t="s">
        <v>702</v>
      </c>
      <c r="E442" s="28" t="s">
        <v>702</v>
      </c>
      <c r="F442" s="28">
        <v>888888</v>
      </c>
      <c r="G442" s="28">
        <v>888888</v>
      </c>
      <c r="H442" s="38" t="s">
        <v>1272</v>
      </c>
      <c r="I442" s="28"/>
      <c r="J442" s="28"/>
      <c r="K442" s="28" t="s">
        <v>1273</v>
      </c>
      <c r="L442" s="28" t="s">
        <v>1253</v>
      </c>
      <c r="M442" s="28" t="s">
        <v>1077</v>
      </c>
      <c r="N442" s="35">
        <v>23234</v>
      </c>
    </row>
    <row r="443" s="9" customFormat="1" ht="17.25" spans="1:14">
      <c r="A443" s="39" t="s">
        <v>1978</v>
      </c>
      <c r="B443" s="40" t="s">
        <v>1978</v>
      </c>
      <c r="C443" s="40" t="s">
        <v>1978</v>
      </c>
      <c r="D443" s="41" t="s">
        <v>1979</v>
      </c>
      <c r="E443" s="41" t="s">
        <v>1979</v>
      </c>
      <c r="F443" s="41">
        <v>888888</v>
      </c>
      <c r="G443" s="41">
        <v>888888</v>
      </c>
      <c r="H443" s="40" t="s">
        <v>1980</v>
      </c>
      <c r="I443" s="40"/>
      <c r="J443" s="40"/>
      <c r="K443" s="40" t="s">
        <v>1981</v>
      </c>
      <c r="L443" s="40" t="s">
        <v>993</v>
      </c>
      <c r="M443" s="41" t="s">
        <v>1077</v>
      </c>
      <c r="N443" s="42">
        <v>91708</v>
      </c>
    </row>
    <row r="444" s="9" customFormat="1" ht="16.5" spans="1:14">
      <c r="A444" s="33" t="s">
        <v>1982</v>
      </c>
      <c r="B444" s="28" t="s">
        <v>1982</v>
      </c>
      <c r="C444" s="28" t="s">
        <v>1982</v>
      </c>
      <c r="D444" s="28" t="s">
        <v>1979</v>
      </c>
      <c r="E444" s="28" t="s">
        <v>1979</v>
      </c>
      <c r="F444" s="28">
        <v>888888</v>
      </c>
      <c r="G444" s="28">
        <v>888888</v>
      </c>
      <c r="H444" s="38" t="s">
        <v>1983</v>
      </c>
      <c r="I444" s="28"/>
      <c r="J444" s="28"/>
      <c r="K444" s="28" t="s">
        <v>1984</v>
      </c>
      <c r="L444" s="28" t="s">
        <v>993</v>
      </c>
      <c r="M444" s="28" t="s">
        <v>1077</v>
      </c>
      <c r="N444" s="35">
        <v>91708</v>
      </c>
    </row>
    <row r="445" s="9" customFormat="1" ht="17.25" spans="1:14">
      <c r="A445" s="39" t="s">
        <v>1985</v>
      </c>
      <c r="B445" s="40" t="s">
        <v>1985</v>
      </c>
      <c r="C445" s="40" t="s">
        <v>1985</v>
      </c>
      <c r="D445" s="41" t="s">
        <v>1979</v>
      </c>
      <c r="E445" s="41" t="s">
        <v>1979</v>
      </c>
      <c r="F445" s="41">
        <v>888888</v>
      </c>
      <c r="G445" s="41">
        <v>888888</v>
      </c>
      <c r="H445" s="40" t="s">
        <v>1986</v>
      </c>
      <c r="I445" s="40"/>
      <c r="J445" s="40"/>
      <c r="K445" s="40" t="s">
        <v>1584</v>
      </c>
      <c r="L445" s="40" t="s">
        <v>993</v>
      </c>
      <c r="M445" s="41" t="s">
        <v>1077</v>
      </c>
      <c r="N445" s="42">
        <v>95837</v>
      </c>
    </row>
    <row r="446" s="9" customFormat="1" ht="16.5" spans="1:14">
      <c r="A446" s="33" t="s">
        <v>1987</v>
      </c>
      <c r="B446" s="28" t="s">
        <v>1987</v>
      </c>
      <c r="C446" s="28" t="s">
        <v>1987</v>
      </c>
      <c r="D446" s="28" t="s">
        <v>1979</v>
      </c>
      <c r="E446" s="28" t="s">
        <v>1979</v>
      </c>
      <c r="F446" s="28">
        <v>888888</v>
      </c>
      <c r="G446" s="28">
        <v>888888</v>
      </c>
      <c r="H446" s="38" t="s">
        <v>1988</v>
      </c>
      <c r="I446" s="28"/>
      <c r="J446" s="28"/>
      <c r="K446" s="28" t="s">
        <v>1952</v>
      </c>
      <c r="L446" s="28" t="s">
        <v>1989</v>
      </c>
      <c r="M446" s="28" t="s">
        <v>1077</v>
      </c>
      <c r="N446" s="35">
        <v>85340</v>
      </c>
    </row>
    <row r="447" s="9" customFormat="1" ht="17.25" spans="1:14">
      <c r="A447" s="39" t="s">
        <v>1990</v>
      </c>
      <c r="B447" s="40" t="s">
        <v>1990</v>
      </c>
      <c r="C447" s="40" t="s">
        <v>1990</v>
      </c>
      <c r="D447" s="41" t="s">
        <v>1979</v>
      </c>
      <c r="E447" s="41" t="s">
        <v>1979</v>
      </c>
      <c r="F447" s="41">
        <v>888888</v>
      </c>
      <c r="G447" s="41">
        <v>888888</v>
      </c>
      <c r="H447" s="40" t="s">
        <v>1991</v>
      </c>
      <c r="I447" s="40"/>
      <c r="J447" s="40"/>
      <c r="K447" s="40" t="s">
        <v>1903</v>
      </c>
      <c r="L447" s="40" t="s">
        <v>1344</v>
      </c>
      <c r="M447" s="41" t="s">
        <v>1077</v>
      </c>
      <c r="N447" s="42">
        <v>40165</v>
      </c>
    </row>
    <row r="448" s="9" customFormat="1" ht="16.5" spans="1:14">
      <c r="A448" s="33" t="s">
        <v>1992</v>
      </c>
      <c r="B448" s="28" t="s">
        <v>1992</v>
      </c>
      <c r="C448" s="28" t="s">
        <v>1992</v>
      </c>
      <c r="D448" s="28" t="s">
        <v>1979</v>
      </c>
      <c r="E448" s="28" t="s">
        <v>1979</v>
      </c>
      <c r="F448" s="28">
        <v>888888</v>
      </c>
      <c r="G448" s="28">
        <v>888888</v>
      </c>
      <c r="H448" s="38" t="s">
        <v>1993</v>
      </c>
      <c r="I448" s="28"/>
      <c r="J448" s="28"/>
      <c r="K448" s="28" t="s">
        <v>1400</v>
      </c>
      <c r="L448" s="28" t="s">
        <v>1401</v>
      </c>
      <c r="M448" s="28" t="s">
        <v>1077</v>
      </c>
      <c r="N448" s="35">
        <v>66021</v>
      </c>
    </row>
    <row r="449" s="9" customFormat="1" ht="17.25" spans="1:14">
      <c r="A449" s="39" t="s">
        <v>1994</v>
      </c>
      <c r="B449" s="40" t="s">
        <v>1994</v>
      </c>
      <c r="C449" s="40" t="s">
        <v>1994</v>
      </c>
      <c r="D449" s="41" t="s">
        <v>1979</v>
      </c>
      <c r="E449" s="41" t="s">
        <v>1979</v>
      </c>
      <c r="F449" s="41">
        <v>888888</v>
      </c>
      <c r="G449" s="41">
        <v>888888</v>
      </c>
      <c r="H449" s="40" t="s">
        <v>1995</v>
      </c>
      <c r="I449" s="40"/>
      <c r="J449" s="40"/>
      <c r="K449" s="40" t="s">
        <v>1996</v>
      </c>
      <c r="L449" s="40" t="s">
        <v>1193</v>
      </c>
      <c r="M449" s="41" t="s">
        <v>1077</v>
      </c>
      <c r="N449" s="42" t="s">
        <v>1997</v>
      </c>
    </row>
    <row r="450" s="9" customFormat="1" ht="16.5" spans="1:14">
      <c r="A450" s="33" t="s">
        <v>1998</v>
      </c>
      <c r="B450" s="28" t="s">
        <v>1998</v>
      </c>
      <c r="C450" s="28" t="s">
        <v>1998</v>
      </c>
      <c r="D450" s="28" t="s">
        <v>702</v>
      </c>
      <c r="E450" s="28" t="s">
        <v>702</v>
      </c>
      <c r="F450" s="28" t="s">
        <v>1835</v>
      </c>
      <c r="G450" s="28" t="s">
        <v>1835</v>
      </c>
      <c r="H450" s="38" t="s">
        <v>1999</v>
      </c>
      <c r="I450" s="28"/>
      <c r="J450" s="28"/>
      <c r="K450" s="28" t="s">
        <v>1026</v>
      </c>
      <c r="L450" s="28" t="s">
        <v>1027</v>
      </c>
      <c r="M450" s="28" t="s">
        <v>993</v>
      </c>
      <c r="N450" s="35" t="s">
        <v>2000</v>
      </c>
    </row>
    <row r="451" s="9" customFormat="1" ht="17.25" spans="1:14">
      <c r="A451" s="39" t="s">
        <v>2001</v>
      </c>
      <c r="B451" s="40" t="s">
        <v>2001</v>
      </c>
      <c r="C451" s="40" t="s">
        <v>2001</v>
      </c>
      <c r="D451" s="41" t="s">
        <v>702</v>
      </c>
      <c r="E451" s="41" t="s">
        <v>702</v>
      </c>
      <c r="F451" s="41" t="s">
        <v>1835</v>
      </c>
      <c r="G451" s="41" t="s">
        <v>1835</v>
      </c>
      <c r="H451" s="40" t="s">
        <v>2002</v>
      </c>
      <c r="I451" s="40"/>
      <c r="J451" s="40"/>
      <c r="K451" s="40" t="s">
        <v>2003</v>
      </c>
      <c r="L451" s="40" t="s">
        <v>998</v>
      </c>
      <c r="M451" s="41" t="s">
        <v>993</v>
      </c>
      <c r="N451" s="42" t="s">
        <v>2004</v>
      </c>
    </row>
    <row r="452" s="9" customFormat="1" ht="16.5" spans="1:14">
      <c r="A452" s="33" t="s">
        <v>2005</v>
      </c>
      <c r="B452" s="28" t="s">
        <v>2005</v>
      </c>
      <c r="C452" s="28" t="s">
        <v>2005</v>
      </c>
      <c r="D452" s="28" t="s">
        <v>702</v>
      </c>
      <c r="E452" s="28" t="s">
        <v>702</v>
      </c>
      <c r="F452" s="28">
        <v>888888</v>
      </c>
      <c r="G452" s="28">
        <v>888888</v>
      </c>
      <c r="H452" s="38" t="s">
        <v>2006</v>
      </c>
      <c r="I452" s="28"/>
      <c r="J452" s="28"/>
      <c r="K452" s="28" t="s">
        <v>2007</v>
      </c>
      <c r="L452" s="28" t="s">
        <v>1145</v>
      </c>
      <c r="M452" s="28" t="s">
        <v>1077</v>
      </c>
      <c r="N452" s="35">
        <v>46168</v>
      </c>
    </row>
    <row r="453" s="9" customFormat="1" ht="17.25" spans="1:14">
      <c r="A453" s="39" t="s">
        <v>2008</v>
      </c>
      <c r="B453" s="40" t="s">
        <v>2008</v>
      </c>
      <c r="C453" s="40" t="s">
        <v>2008</v>
      </c>
      <c r="D453" s="41" t="s">
        <v>702</v>
      </c>
      <c r="E453" s="41" t="s">
        <v>702</v>
      </c>
      <c r="F453" s="41">
        <v>888888</v>
      </c>
      <c r="G453" s="41">
        <v>888888</v>
      </c>
      <c r="H453" s="40" t="s">
        <v>2009</v>
      </c>
      <c r="I453" s="40"/>
      <c r="J453" s="40"/>
      <c r="K453" s="40" t="s">
        <v>1562</v>
      </c>
      <c r="L453" s="40" t="s">
        <v>1376</v>
      </c>
      <c r="M453" s="41" t="s">
        <v>1077</v>
      </c>
      <c r="N453" s="42">
        <v>48174</v>
      </c>
    </row>
    <row r="454" s="9" customFormat="1" ht="16.5" spans="1:14">
      <c r="A454" s="33" t="s">
        <v>2010</v>
      </c>
      <c r="B454" s="28" t="s">
        <v>2010</v>
      </c>
      <c r="C454" s="28" t="s">
        <v>2010</v>
      </c>
      <c r="D454" s="28" t="s">
        <v>702</v>
      </c>
      <c r="E454" s="28" t="s">
        <v>702</v>
      </c>
      <c r="F454" s="28">
        <v>888888</v>
      </c>
      <c r="G454" s="28">
        <v>888888</v>
      </c>
      <c r="H454" s="38" t="s">
        <v>2011</v>
      </c>
      <c r="I454" s="28"/>
      <c r="J454" s="28"/>
      <c r="K454" s="28" t="s">
        <v>2012</v>
      </c>
      <c r="L454" s="28" t="s">
        <v>1117</v>
      </c>
      <c r="M454" s="28" t="s">
        <v>1077</v>
      </c>
      <c r="N454" s="35">
        <v>15203</v>
      </c>
    </row>
    <row r="455" s="9" customFormat="1" ht="17.25" spans="1:14">
      <c r="A455" s="39" t="s">
        <v>2013</v>
      </c>
      <c r="B455" s="40" t="s">
        <v>2013</v>
      </c>
      <c r="C455" s="40" t="s">
        <v>2013</v>
      </c>
      <c r="D455" s="41" t="s">
        <v>702</v>
      </c>
      <c r="E455" s="41" t="s">
        <v>702</v>
      </c>
      <c r="F455" s="41">
        <v>888888</v>
      </c>
      <c r="G455" s="41">
        <v>888888</v>
      </c>
      <c r="H455" s="40" t="s">
        <v>2014</v>
      </c>
      <c r="I455" s="40"/>
      <c r="J455" s="40"/>
      <c r="K455" s="40" t="s">
        <v>2015</v>
      </c>
      <c r="L455" s="40" t="s">
        <v>1376</v>
      </c>
      <c r="M455" s="41" t="s">
        <v>1077</v>
      </c>
      <c r="N455" s="42">
        <v>49509</v>
      </c>
    </row>
    <row r="456" s="9" customFormat="1" ht="16.5" spans="1:14">
      <c r="A456" s="33" t="s">
        <v>2016</v>
      </c>
      <c r="B456" s="28" t="s">
        <v>2016</v>
      </c>
      <c r="C456" s="28" t="s">
        <v>2016</v>
      </c>
      <c r="D456" s="28" t="s">
        <v>702</v>
      </c>
      <c r="E456" s="28" t="s">
        <v>702</v>
      </c>
      <c r="F456" s="28">
        <v>888888</v>
      </c>
      <c r="G456" s="28">
        <v>888888</v>
      </c>
      <c r="H456" s="38" t="s">
        <v>2017</v>
      </c>
      <c r="I456" s="28"/>
      <c r="J456" s="28"/>
      <c r="K456" s="28" t="s">
        <v>1705</v>
      </c>
      <c r="L456" s="28" t="s">
        <v>1258</v>
      </c>
      <c r="M456" s="28" t="s">
        <v>1077</v>
      </c>
      <c r="N456" s="35" t="s">
        <v>1706</v>
      </c>
    </row>
    <row r="457" s="9" customFormat="1" ht="17.25" spans="1:14">
      <c r="A457" s="39" t="s">
        <v>2018</v>
      </c>
      <c r="B457" s="40" t="s">
        <v>2018</v>
      </c>
      <c r="C457" s="40" t="s">
        <v>2018</v>
      </c>
      <c r="D457" s="41" t="s">
        <v>702</v>
      </c>
      <c r="E457" s="41" t="s">
        <v>702</v>
      </c>
      <c r="F457" s="41">
        <v>888888</v>
      </c>
      <c r="G457" s="41">
        <v>888888</v>
      </c>
      <c r="H457" s="40" t="s">
        <v>2019</v>
      </c>
      <c r="I457" s="40"/>
      <c r="J457" s="40"/>
      <c r="K457" s="40" t="s">
        <v>2020</v>
      </c>
      <c r="L457" s="40" t="s">
        <v>1117</v>
      </c>
      <c r="M457" s="41" t="s">
        <v>1077</v>
      </c>
      <c r="N457" s="42" t="s">
        <v>2021</v>
      </c>
    </row>
    <row r="458" s="9" customFormat="1" ht="16.5" spans="1:14">
      <c r="A458" s="33" t="s">
        <v>2022</v>
      </c>
      <c r="B458" s="28" t="s">
        <v>2022</v>
      </c>
      <c r="C458" s="28" t="s">
        <v>2022</v>
      </c>
      <c r="D458" s="28" t="s">
        <v>702</v>
      </c>
      <c r="E458" s="28" t="s">
        <v>702</v>
      </c>
      <c r="F458" s="28">
        <v>888888</v>
      </c>
      <c r="G458" s="28">
        <v>888888</v>
      </c>
      <c r="H458" s="38" t="s">
        <v>2023</v>
      </c>
      <c r="I458" s="28"/>
      <c r="J458" s="28"/>
      <c r="K458" s="28" t="s">
        <v>2024</v>
      </c>
      <c r="L458" s="28" t="s">
        <v>111</v>
      </c>
      <c r="M458" s="28" t="s">
        <v>1077</v>
      </c>
      <c r="N458" s="35">
        <v>19720</v>
      </c>
    </row>
    <row r="459" s="9" customFormat="1" ht="17.25" spans="1:14">
      <c r="A459" s="39" t="s">
        <v>2025</v>
      </c>
      <c r="B459" s="40" t="s">
        <v>2025</v>
      </c>
      <c r="C459" s="40" t="s">
        <v>2025</v>
      </c>
      <c r="D459" s="41" t="s">
        <v>702</v>
      </c>
      <c r="E459" s="41" t="s">
        <v>702</v>
      </c>
      <c r="F459" s="41">
        <v>888888</v>
      </c>
      <c r="G459" s="41">
        <v>888888</v>
      </c>
      <c r="H459" s="40" t="s">
        <v>2026</v>
      </c>
      <c r="I459" s="40"/>
      <c r="J459" s="40"/>
      <c r="K459" s="40" t="s">
        <v>2027</v>
      </c>
      <c r="L459" s="40" t="s">
        <v>1107</v>
      </c>
      <c r="M459" s="41" t="s">
        <v>1077</v>
      </c>
      <c r="N459" s="42" t="s">
        <v>2028</v>
      </c>
    </row>
    <row r="460" s="9" customFormat="1" ht="33" spans="1:14">
      <c r="A460" s="33" t="s">
        <v>2029</v>
      </c>
      <c r="B460" s="28" t="s">
        <v>2029</v>
      </c>
      <c r="C460" s="28" t="s">
        <v>2029</v>
      </c>
      <c r="D460" s="28" t="s">
        <v>702</v>
      </c>
      <c r="E460" s="28" t="s">
        <v>702</v>
      </c>
      <c r="F460" s="28">
        <v>888888</v>
      </c>
      <c r="G460" s="28">
        <v>888888</v>
      </c>
      <c r="H460" s="38" t="s">
        <v>2030</v>
      </c>
      <c r="I460" s="28"/>
      <c r="J460" s="28"/>
      <c r="K460" s="28" t="s">
        <v>2031</v>
      </c>
      <c r="L460" s="28" t="s">
        <v>998</v>
      </c>
      <c r="M460" s="28" t="s">
        <v>993</v>
      </c>
      <c r="N460" s="35" t="s">
        <v>2032</v>
      </c>
    </row>
    <row r="461" s="9" customFormat="1" ht="17.25" spans="1:14">
      <c r="A461" s="39" t="s">
        <v>2033</v>
      </c>
      <c r="B461" s="40" t="s">
        <v>2033</v>
      </c>
      <c r="C461" s="40" t="s">
        <v>2033</v>
      </c>
      <c r="D461" s="41" t="s">
        <v>702</v>
      </c>
      <c r="E461" s="41" t="s">
        <v>702</v>
      </c>
      <c r="F461" s="41">
        <v>888888</v>
      </c>
      <c r="G461" s="41">
        <v>888888</v>
      </c>
      <c r="H461" s="40" t="s">
        <v>2034</v>
      </c>
      <c r="I461" s="40"/>
      <c r="J461" s="40"/>
      <c r="K461" s="40" t="s">
        <v>2035</v>
      </c>
      <c r="L461" s="40" t="s">
        <v>1097</v>
      </c>
      <c r="M461" s="41" t="s">
        <v>1077</v>
      </c>
      <c r="N461" s="42">
        <v>32712</v>
      </c>
    </row>
    <row r="462" s="9" customFormat="1" ht="16.5" spans="1:14">
      <c r="A462" s="33" t="s">
        <v>2036</v>
      </c>
      <c r="B462" s="28" t="s">
        <v>2036</v>
      </c>
      <c r="C462" s="28" t="s">
        <v>2036</v>
      </c>
      <c r="D462" s="28" t="s">
        <v>702</v>
      </c>
      <c r="E462" s="28" t="s">
        <v>702</v>
      </c>
      <c r="F462" s="28">
        <v>888888</v>
      </c>
      <c r="G462" s="28">
        <v>888888</v>
      </c>
      <c r="H462" s="38" t="s">
        <v>1909</v>
      </c>
      <c r="I462" s="28"/>
      <c r="J462" s="28"/>
      <c r="K462" s="28" t="s">
        <v>1580</v>
      </c>
      <c r="L462" s="28" t="s">
        <v>993</v>
      </c>
      <c r="M462" s="28" t="s">
        <v>1077</v>
      </c>
      <c r="N462" s="35" t="s">
        <v>2037</v>
      </c>
    </row>
    <row r="463" s="9" customFormat="1" ht="17.25" spans="1:14">
      <c r="A463" s="39" t="s">
        <v>2038</v>
      </c>
      <c r="B463" s="40" t="s">
        <v>2038</v>
      </c>
      <c r="C463" s="40" t="s">
        <v>2038</v>
      </c>
      <c r="D463" s="41" t="s">
        <v>702</v>
      </c>
      <c r="E463" s="41" t="s">
        <v>702</v>
      </c>
      <c r="F463" s="41">
        <v>888888</v>
      </c>
      <c r="G463" s="41">
        <v>888888</v>
      </c>
      <c r="H463" s="40" t="s">
        <v>2039</v>
      </c>
      <c r="I463" s="40"/>
      <c r="J463" s="40"/>
      <c r="K463" s="40" t="s">
        <v>1302</v>
      </c>
      <c r="L463" s="40" t="s">
        <v>1097</v>
      </c>
      <c r="M463" s="41" t="s">
        <v>1077</v>
      </c>
      <c r="N463" s="42">
        <v>32206</v>
      </c>
    </row>
    <row r="464" s="9" customFormat="1" ht="16.5" spans="1:14">
      <c r="A464" s="33" t="s">
        <v>2040</v>
      </c>
      <c r="B464" s="28" t="s">
        <v>2040</v>
      </c>
      <c r="C464" s="28" t="s">
        <v>2040</v>
      </c>
      <c r="D464" s="28" t="s">
        <v>702</v>
      </c>
      <c r="E464" s="28" t="s">
        <v>702</v>
      </c>
      <c r="F464" s="28">
        <v>888888</v>
      </c>
      <c r="G464" s="28">
        <v>888888</v>
      </c>
      <c r="H464" s="38" t="s">
        <v>2041</v>
      </c>
      <c r="I464" s="28"/>
      <c r="J464" s="28"/>
      <c r="K464" s="28" t="s">
        <v>2042</v>
      </c>
      <c r="L464" s="28" t="s">
        <v>1193</v>
      </c>
      <c r="M464" s="28" t="s">
        <v>1077</v>
      </c>
      <c r="N464" s="35" t="s">
        <v>2043</v>
      </c>
    </row>
    <row r="465" s="9" customFormat="1" ht="17.25" spans="1:14">
      <c r="A465" s="39" t="s">
        <v>2044</v>
      </c>
      <c r="B465" s="40" t="s">
        <v>2044</v>
      </c>
      <c r="C465" s="40" t="s">
        <v>2044</v>
      </c>
      <c r="D465" s="41" t="s">
        <v>702</v>
      </c>
      <c r="E465" s="41" t="s">
        <v>702</v>
      </c>
      <c r="F465" s="41">
        <v>888888</v>
      </c>
      <c r="G465" s="41">
        <v>888888</v>
      </c>
      <c r="H465" s="40" t="s">
        <v>1967</v>
      </c>
      <c r="I465" s="40"/>
      <c r="J465" s="40"/>
      <c r="K465" s="40" t="s">
        <v>2045</v>
      </c>
      <c r="L465" s="40" t="s">
        <v>1145</v>
      </c>
      <c r="M465" s="41" t="s">
        <v>1077</v>
      </c>
      <c r="N465" s="42">
        <v>46307</v>
      </c>
    </row>
    <row r="466" s="9" customFormat="1" ht="16.5" spans="1:14">
      <c r="A466" s="33" t="s">
        <v>2046</v>
      </c>
      <c r="B466" s="28" t="s">
        <v>2046</v>
      </c>
      <c r="C466" s="28" t="s">
        <v>2046</v>
      </c>
      <c r="D466" s="28" t="s">
        <v>702</v>
      </c>
      <c r="E466" s="28" t="s">
        <v>702</v>
      </c>
      <c r="F466" s="28">
        <v>888888</v>
      </c>
      <c r="G466" s="28">
        <v>888888</v>
      </c>
      <c r="H466" s="38" t="s">
        <v>1967</v>
      </c>
      <c r="I466" s="28"/>
      <c r="J466" s="28"/>
      <c r="K466" s="28" t="s">
        <v>1968</v>
      </c>
      <c r="L466" s="28" t="s">
        <v>1145</v>
      </c>
      <c r="M466" s="28" t="s">
        <v>1077</v>
      </c>
      <c r="N466" s="35">
        <v>46410</v>
      </c>
    </row>
    <row r="467" s="9" customFormat="1" ht="17.25" spans="1:14">
      <c r="A467" s="39" t="s">
        <v>2047</v>
      </c>
      <c r="B467" s="40" t="s">
        <v>2047</v>
      </c>
      <c r="C467" s="40" t="s">
        <v>2047</v>
      </c>
      <c r="D467" s="41" t="s">
        <v>702</v>
      </c>
      <c r="E467" s="41" t="s">
        <v>702</v>
      </c>
      <c r="F467" s="41">
        <v>888888</v>
      </c>
      <c r="G467" s="41">
        <v>888888</v>
      </c>
      <c r="H467" s="40" t="s">
        <v>2048</v>
      </c>
      <c r="I467" s="40"/>
      <c r="J467" s="40"/>
      <c r="K467" s="40" t="s">
        <v>2049</v>
      </c>
      <c r="L467" s="40" t="s">
        <v>1438</v>
      </c>
      <c r="M467" s="41" t="s">
        <v>1077</v>
      </c>
      <c r="N467" s="42">
        <v>84116</v>
      </c>
    </row>
    <row r="468" s="9" customFormat="1" ht="16.5" spans="1:14">
      <c r="A468" s="33" t="s">
        <v>2050</v>
      </c>
      <c r="B468" s="28" t="s">
        <v>2050</v>
      </c>
      <c r="C468" s="28" t="s">
        <v>2050</v>
      </c>
      <c r="D468" s="28" t="s">
        <v>702</v>
      </c>
      <c r="E468" s="28" t="s">
        <v>702</v>
      </c>
      <c r="F468" s="28">
        <v>888888</v>
      </c>
      <c r="G468" s="28">
        <v>888888</v>
      </c>
      <c r="H468" s="38" t="s">
        <v>2051</v>
      </c>
      <c r="I468" s="28"/>
      <c r="J468" s="28"/>
      <c r="K468" s="28" t="s">
        <v>2052</v>
      </c>
      <c r="L468" s="28" t="s">
        <v>1513</v>
      </c>
      <c r="M468" s="28" t="s">
        <v>1077</v>
      </c>
      <c r="N468" s="35">
        <v>98390</v>
      </c>
    </row>
    <row r="469" s="9" customFormat="1" ht="17.25" spans="1:14">
      <c r="A469" s="39" t="s">
        <v>2053</v>
      </c>
      <c r="B469" s="40" t="s">
        <v>2053</v>
      </c>
      <c r="C469" s="40" t="s">
        <v>2053</v>
      </c>
      <c r="D469" s="41" t="s">
        <v>702</v>
      </c>
      <c r="E469" s="41" t="s">
        <v>702</v>
      </c>
      <c r="F469" s="41">
        <v>888888</v>
      </c>
      <c r="G469" s="41">
        <v>888888</v>
      </c>
      <c r="H469" s="40" t="s">
        <v>2054</v>
      </c>
      <c r="I469" s="40"/>
      <c r="J469" s="40"/>
      <c r="K469" s="40" t="s">
        <v>1651</v>
      </c>
      <c r="L469" s="40" t="s">
        <v>993</v>
      </c>
      <c r="M469" s="41" t="s">
        <v>1077</v>
      </c>
      <c r="N469" s="42">
        <v>93725</v>
      </c>
    </row>
    <row r="470" s="9" customFormat="1" ht="16.5" spans="1:14">
      <c r="A470" s="33" t="s">
        <v>2055</v>
      </c>
      <c r="B470" s="28" t="s">
        <v>2055</v>
      </c>
      <c r="C470" s="28" t="s">
        <v>2055</v>
      </c>
      <c r="D470" s="28" t="s">
        <v>702</v>
      </c>
      <c r="E470" s="28" t="s">
        <v>702</v>
      </c>
      <c r="F470" s="28">
        <v>888888</v>
      </c>
      <c r="G470" s="28">
        <v>888888</v>
      </c>
      <c r="H470" s="38" t="s">
        <v>2056</v>
      </c>
      <c r="I470" s="28"/>
      <c r="J470" s="28"/>
      <c r="K470" s="28" t="s">
        <v>2057</v>
      </c>
      <c r="L470" s="28" t="s">
        <v>1117</v>
      </c>
      <c r="M470" s="28" t="s">
        <v>1077</v>
      </c>
      <c r="N470" s="35">
        <v>17225</v>
      </c>
    </row>
    <row r="471" s="9" customFormat="1" ht="17.25" spans="1:14">
      <c r="A471" s="39" t="s">
        <v>2058</v>
      </c>
      <c r="B471" s="40" t="s">
        <v>2058</v>
      </c>
      <c r="C471" s="40" t="s">
        <v>2058</v>
      </c>
      <c r="D471" s="41" t="s">
        <v>702</v>
      </c>
      <c r="E471" s="41" t="s">
        <v>702</v>
      </c>
      <c r="F471" s="41">
        <v>888888</v>
      </c>
      <c r="G471" s="41">
        <v>888888</v>
      </c>
      <c r="H471" s="40" t="s">
        <v>2059</v>
      </c>
      <c r="I471" s="40"/>
      <c r="J471" s="40"/>
      <c r="K471" s="40" t="s">
        <v>1236</v>
      </c>
      <c r="L471" s="40" t="s">
        <v>1117</v>
      </c>
      <c r="M471" s="41" t="s">
        <v>1077</v>
      </c>
      <c r="N471" s="42" t="s">
        <v>1753</v>
      </c>
    </row>
    <row r="472" s="9" customFormat="1" ht="16.5" spans="1:14">
      <c r="A472" s="33" t="s">
        <v>2060</v>
      </c>
      <c r="B472" s="28" t="s">
        <v>2060</v>
      </c>
      <c r="C472" s="28" t="s">
        <v>2060</v>
      </c>
      <c r="D472" s="28" t="s">
        <v>702</v>
      </c>
      <c r="E472" s="28" t="s">
        <v>702</v>
      </c>
      <c r="F472" s="28">
        <v>888888</v>
      </c>
      <c r="G472" s="28">
        <v>888888</v>
      </c>
      <c r="H472" s="38" t="s">
        <v>2061</v>
      </c>
      <c r="I472" s="28"/>
      <c r="J472" s="28"/>
      <c r="K472" s="28" t="s">
        <v>1734</v>
      </c>
      <c r="L472" s="28" t="s">
        <v>1112</v>
      </c>
      <c r="M472" s="28" t="s">
        <v>1077</v>
      </c>
      <c r="N472" s="35">
        <v>78666</v>
      </c>
    </row>
    <row r="473" s="9" customFormat="1" ht="17.25" spans="1:14">
      <c r="A473" s="39" t="s">
        <v>2062</v>
      </c>
      <c r="B473" s="40" t="s">
        <v>2062</v>
      </c>
      <c r="C473" s="40" t="s">
        <v>2062</v>
      </c>
      <c r="D473" s="41" t="s">
        <v>702</v>
      </c>
      <c r="E473" s="41" t="s">
        <v>702</v>
      </c>
      <c r="F473" s="41">
        <v>888888</v>
      </c>
      <c r="G473" s="41">
        <v>888888</v>
      </c>
      <c r="H473" s="40" t="s">
        <v>2063</v>
      </c>
      <c r="I473" s="40"/>
      <c r="J473" s="40"/>
      <c r="K473" s="40" t="s">
        <v>2064</v>
      </c>
      <c r="L473" s="40" t="s">
        <v>993</v>
      </c>
      <c r="M473" s="41" t="s">
        <v>1077</v>
      </c>
      <c r="N473" s="42">
        <v>92571</v>
      </c>
    </row>
    <row r="474" s="9" customFormat="1" ht="16.5" spans="1:14">
      <c r="A474" s="33" t="s">
        <v>2065</v>
      </c>
      <c r="B474" s="28" t="s">
        <v>2065</v>
      </c>
      <c r="C474" s="28" t="s">
        <v>2065</v>
      </c>
      <c r="D474" s="28" t="s">
        <v>702</v>
      </c>
      <c r="E474" s="28" t="s">
        <v>702</v>
      </c>
      <c r="F474" s="28">
        <v>888888</v>
      </c>
      <c r="G474" s="28">
        <v>888888</v>
      </c>
      <c r="H474" s="38" t="s">
        <v>2066</v>
      </c>
      <c r="I474" s="28"/>
      <c r="J474" s="28"/>
      <c r="K474" s="28" t="s">
        <v>2067</v>
      </c>
      <c r="L474" s="28" t="s">
        <v>993</v>
      </c>
      <c r="M474" s="28" t="s">
        <v>1077</v>
      </c>
      <c r="N474" s="35">
        <v>92344</v>
      </c>
    </row>
    <row r="475" s="9" customFormat="1" ht="17.25" spans="1:14">
      <c r="A475" s="39" t="s">
        <v>2068</v>
      </c>
      <c r="B475" s="40" t="s">
        <v>2068</v>
      </c>
      <c r="C475" s="40" t="s">
        <v>2068</v>
      </c>
      <c r="D475" s="41" t="s">
        <v>702</v>
      </c>
      <c r="E475" s="41" t="s">
        <v>702</v>
      </c>
      <c r="F475" s="41">
        <v>888888</v>
      </c>
      <c r="G475" s="41">
        <v>888888</v>
      </c>
      <c r="H475" s="40" t="s">
        <v>2069</v>
      </c>
      <c r="I475" s="40"/>
      <c r="J475" s="40"/>
      <c r="K475" s="40" t="s">
        <v>1446</v>
      </c>
      <c r="L475" s="40" t="s">
        <v>1102</v>
      </c>
      <c r="M475" s="41" t="s">
        <v>1077</v>
      </c>
      <c r="N475" s="42">
        <v>85338</v>
      </c>
    </row>
    <row r="476" s="9" customFormat="1" ht="16.5" spans="1:14">
      <c r="A476" s="33" t="s">
        <v>2070</v>
      </c>
      <c r="B476" s="28" t="s">
        <v>2070</v>
      </c>
      <c r="C476" s="28" t="s">
        <v>2070</v>
      </c>
      <c r="D476" s="28" t="s">
        <v>702</v>
      </c>
      <c r="E476" s="28" t="s">
        <v>702</v>
      </c>
      <c r="F476" s="28">
        <v>888888</v>
      </c>
      <c r="G476" s="28">
        <v>888888</v>
      </c>
      <c r="H476" s="38" t="s">
        <v>2071</v>
      </c>
      <c r="I476" s="28"/>
      <c r="J476" s="28"/>
      <c r="K476" s="28" t="s">
        <v>2072</v>
      </c>
      <c r="L476" s="28" t="s">
        <v>993</v>
      </c>
      <c r="M476" s="28" t="s">
        <v>1077</v>
      </c>
      <c r="N476" s="35">
        <v>95742</v>
      </c>
    </row>
    <row r="477" s="9" customFormat="1" ht="17.25" spans="1:14">
      <c r="A477" s="39" t="s">
        <v>2073</v>
      </c>
      <c r="B477" s="40" t="s">
        <v>2073</v>
      </c>
      <c r="C477" s="40" t="s">
        <v>2073</v>
      </c>
      <c r="D477" s="41" t="s">
        <v>702</v>
      </c>
      <c r="E477" s="41" t="s">
        <v>702</v>
      </c>
      <c r="F477" s="41">
        <v>888888</v>
      </c>
      <c r="G477" s="41">
        <v>888888</v>
      </c>
      <c r="H477" s="40" t="s">
        <v>2074</v>
      </c>
      <c r="I477" s="40"/>
      <c r="J477" s="40"/>
      <c r="K477" s="40" t="s">
        <v>2075</v>
      </c>
      <c r="L477" s="40" t="s">
        <v>1385</v>
      </c>
      <c r="M477" s="41" t="s">
        <v>1077</v>
      </c>
      <c r="N477" s="42">
        <v>53142</v>
      </c>
    </row>
    <row r="478" s="9" customFormat="1" ht="16.5" spans="1:14">
      <c r="A478" s="33" t="s">
        <v>2076</v>
      </c>
      <c r="B478" s="28" t="s">
        <v>2076</v>
      </c>
      <c r="C478" s="28" t="s">
        <v>2076</v>
      </c>
      <c r="D478" s="28" t="s">
        <v>1979</v>
      </c>
      <c r="E478" s="28" t="s">
        <v>1979</v>
      </c>
      <c r="F478" s="28" t="s">
        <v>1835</v>
      </c>
      <c r="G478" s="28" t="s">
        <v>1835</v>
      </c>
      <c r="H478" s="38" t="s">
        <v>2077</v>
      </c>
      <c r="I478" s="28"/>
      <c r="J478" s="28"/>
      <c r="K478" s="28" t="s">
        <v>2078</v>
      </c>
      <c r="L478" s="28" t="s">
        <v>1294</v>
      </c>
      <c r="M478" s="28" t="s">
        <v>1077</v>
      </c>
      <c r="N478" s="35" t="s">
        <v>2079</v>
      </c>
    </row>
    <row r="479" s="9" customFormat="1" ht="17.25" spans="1:14">
      <c r="A479" s="39" t="s">
        <v>2080</v>
      </c>
      <c r="B479" s="40" t="s">
        <v>2081</v>
      </c>
      <c r="C479" s="40" t="s">
        <v>2080</v>
      </c>
      <c r="D479" s="41" t="s">
        <v>1979</v>
      </c>
      <c r="E479" s="41" t="s">
        <v>1979</v>
      </c>
      <c r="F479" s="41" t="s">
        <v>1835</v>
      </c>
      <c r="G479" s="41" t="s">
        <v>1835</v>
      </c>
      <c r="H479" s="40" t="s">
        <v>2082</v>
      </c>
      <c r="I479" s="40"/>
      <c r="J479" s="40"/>
      <c r="K479" s="40" t="s">
        <v>2083</v>
      </c>
      <c r="L479" s="40" t="s">
        <v>2084</v>
      </c>
      <c r="M479" s="41" t="s">
        <v>1077</v>
      </c>
      <c r="N479" s="42" t="s">
        <v>2085</v>
      </c>
    </row>
    <row r="480" s="9" customFormat="1" ht="16.5" spans="1:14">
      <c r="A480" s="33" t="s">
        <v>2086</v>
      </c>
      <c r="B480" s="28" t="s">
        <v>2087</v>
      </c>
      <c r="C480" s="28" t="s">
        <v>2086</v>
      </c>
      <c r="D480" s="28" t="s">
        <v>1979</v>
      </c>
      <c r="E480" s="28" t="s">
        <v>1979</v>
      </c>
      <c r="F480" s="28" t="s">
        <v>1835</v>
      </c>
      <c r="G480" s="28" t="s">
        <v>1835</v>
      </c>
      <c r="H480" s="38" t="s">
        <v>2088</v>
      </c>
      <c r="I480" s="28"/>
      <c r="J480" s="28"/>
      <c r="K480" s="28" t="s">
        <v>2089</v>
      </c>
      <c r="L480" s="28" t="s">
        <v>1117</v>
      </c>
      <c r="M480" s="28" t="s">
        <v>1077</v>
      </c>
      <c r="N480" s="35" t="s">
        <v>2090</v>
      </c>
    </row>
    <row r="481" s="9" customFormat="1" ht="17.25" spans="1:14">
      <c r="A481" s="39" t="s">
        <v>2091</v>
      </c>
      <c r="B481" s="40" t="s">
        <v>2092</v>
      </c>
      <c r="C481" s="40" t="s">
        <v>2091</v>
      </c>
      <c r="D481" s="41" t="s">
        <v>1979</v>
      </c>
      <c r="E481" s="41" t="s">
        <v>1979</v>
      </c>
      <c r="F481" s="41" t="s">
        <v>1835</v>
      </c>
      <c r="G481" s="41" t="s">
        <v>1835</v>
      </c>
      <c r="H481" s="40" t="s">
        <v>2093</v>
      </c>
      <c r="I481" s="40"/>
      <c r="J481" s="40"/>
      <c r="K481" s="40" t="s">
        <v>1360</v>
      </c>
      <c r="L481" s="40" t="s">
        <v>1145</v>
      </c>
      <c r="M481" s="41" t="s">
        <v>1077</v>
      </c>
      <c r="N481" s="42" t="s">
        <v>2094</v>
      </c>
    </row>
    <row r="482" s="9" customFormat="1" ht="16.5" spans="1:14">
      <c r="A482" s="33" t="s">
        <v>2095</v>
      </c>
      <c r="B482" s="28" t="s">
        <v>2095</v>
      </c>
      <c r="C482" s="28" t="s">
        <v>2095</v>
      </c>
      <c r="D482" s="28" t="s">
        <v>1979</v>
      </c>
      <c r="E482" s="28" t="s">
        <v>1979</v>
      </c>
      <c r="F482" s="28" t="s">
        <v>1835</v>
      </c>
      <c r="G482" s="28" t="s">
        <v>1835</v>
      </c>
      <c r="H482" s="38" t="s">
        <v>2096</v>
      </c>
      <c r="I482" s="28"/>
      <c r="J482" s="28"/>
      <c r="K482" s="28" t="s">
        <v>1360</v>
      </c>
      <c r="L482" s="28" t="s">
        <v>1145</v>
      </c>
      <c r="M482" s="28" t="s">
        <v>1077</v>
      </c>
      <c r="N482" s="35" t="s">
        <v>2094</v>
      </c>
    </row>
    <row r="483" s="9" customFormat="1" ht="17.25" spans="1:14">
      <c r="A483" s="39" t="s">
        <v>2097</v>
      </c>
      <c r="B483" s="40" t="s">
        <v>2097</v>
      </c>
      <c r="C483" s="40" t="s">
        <v>2097</v>
      </c>
      <c r="D483" s="41" t="s">
        <v>1979</v>
      </c>
      <c r="E483" s="41" t="s">
        <v>1979</v>
      </c>
      <c r="F483" s="41"/>
      <c r="G483" s="41"/>
      <c r="H483" s="40" t="s">
        <v>2098</v>
      </c>
      <c r="I483" s="40"/>
      <c r="J483" s="40"/>
      <c r="K483" s="40" t="s">
        <v>1981</v>
      </c>
      <c r="L483" s="40" t="s">
        <v>993</v>
      </c>
      <c r="M483" s="41" t="s">
        <v>1077</v>
      </c>
      <c r="N483" s="42" t="s">
        <v>2099</v>
      </c>
    </row>
    <row r="484" s="9" customFormat="1" ht="16.5" spans="1:14">
      <c r="A484" s="33" t="s">
        <v>2100</v>
      </c>
      <c r="B484" s="28" t="s">
        <v>2100</v>
      </c>
      <c r="C484" s="28" t="s">
        <v>2100</v>
      </c>
      <c r="D484" s="28" t="s">
        <v>1979</v>
      </c>
      <c r="E484" s="28" t="s">
        <v>1979</v>
      </c>
      <c r="F484" s="28"/>
      <c r="G484" s="28"/>
      <c r="H484" s="38" t="s">
        <v>2101</v>
      </c>
      <c r="I484" s="28"/>
      <c r="J484" s="28"/>
      <c r="K484" s="28" t="s">
        <v>1420</v>
      </c>
      <c r="L484" s="28" t="s">
        <v>1112</v>
      </c>
      <c r="M484" s="28" t="s">
        <v>1077</v>
      </c>
      <c r="N484" s="35" t="s">
        <v>2102</v>
      </c>
    </row>
    <row r="485" s="9" customFormat="1" ht="17.25" spans="1:14">
      <c r="A485" s="39" t="s">
        <v>2103</v>
      </c>
      <c r="B485" s="40" t="s">
        <v>2103</v>
      </c>
      <c r="C485" s="40" t="s">
        <v>2103</v>
      </c>
      <c r="D485" s="41" t="s">
        <v>702</v>
      </c>
      <c r="E485" s="41" t="s">
        <v>702</v>
      </c>
      <c r="F485" s="41">
        <v>888888</v>
      </c>
      <c r="G485" s="41">
        <v>888888</v>
      </c>
      <c r="H485" s="40" t="s">
        <v>2104</v>
      </c>
      <c r="I485" s="40"/>
      <c r="J485" s="40"/>
      <c r="K485" s="40" t="s">
        <v>2105</v>
      </c>
      <c r="L485" s="40" t="s">
        <v>1184</v>
      </c>
      <c r="M485" s="41" t="s">
        <v>1077</v>
      </c>
      <c r="N485" s="42" t="s">
        <v>2106</v>
      </c>
    </row>
    <row r="486" s="9" customFormat="1" ht="16.5" spans="1:14">
      <c r="A486" s="33" t="s">
        <v>2107</v>
      </c>
      <c r="B486" s="28" t="s">
        <v>2107</v>
      </c>
      <c r="C486" s="28" t="s">
        <v>2107</v>
      </c>
      <c r="D486" s="28" t="s">
        <v>702</v>
      </c>
      <c r="E486" s="28" t="s">
        <v>702</v>
      </c>
      <c r="F486" s="28">
        <v>888888</v>
      </c>
      <c r="G486" s="28">
        <v>888888</v>
      </c>
      <c r="H486" s="38" t="s">
        <v>2108</v>
      </c>
      <c r="I486" s="28"/>
      <c r="J486" s="28"/>
      <c r="K486" s="28" t="s">
        <v>2109</v>
      </c>
      <c r="L486" s="28" t="s">
        <v>1122</v>
      </c>
      <c r="M486" s="28" t="s">
        <v>1077</v>
      </c>
      <c r="N486" s="35">
        <v>29330</v>
      </c>
    </row>
    <row r="487" s="9" customFormat="1" ht="17.25" spans="1:14">
      <c r="A487" s="39" t="s">
        <v>2110</v>
      </c>
      <c r="B487" s="40" t="s">
        <v>2110</v>
      </c>
      <c r="C487" s="40" t="s">
        <v>2110</v>
      </c>
      <c r="D487" s="41" t="s">
        <v>702</v>
      </c>
      <c r="E487" s="41" t="s">
        <v>702</v>
      </c>
      <c r="F487" s="41">
        <v>888888</v>
      </c>
      <c r="G487" s="41">
        <v>888888</v>
      </c>
      <c r="H487" s="40" t="s">
        <v>2111</v>
      </c>
      <c r="I487" s="40"/>
      <c r="J487" s="40"/>
      <c r="K487" s="40" t="s">
        <v>2112</v>
      </c>
      <c r="L487" s="40" t="s">
        <v>993</v>
      </c>
      <c r="M487" s="41" t="s">
        <v>1077</v>
      </c>
      <c r="N487" s="42">
        <v>92240</v>
      </c>
    </row>
    <row r="488" s="9" customFormat="1" ht="16.5" spans="1:14">
      <c r="A488" s="33" t="s">
        <v>2113</v>
      </c>
      <c r="B488" s="28" t="s">
        <v>2113</v>
      </c>
      <c r="C488" s="28" t="s">
        <v>2113</v>
      </c>
      <c r="D488" s="28" t="s">
        <v>702</v>
      </c>
      <c r="E488" s="28" t="s">
        <v>702</v>
      </c>
      <c r="F488" s="28">
        <v>888888</v>
      </c>
      <c r="G488" s="28">
        <v>888888</v>
      </c>
      <c r="H488" s="38" t="s">
        <v>2114</v>
      </c>
      <c r="I488" s="28"/>
      <c r="J488" s="28"/>
      <c r="K488" s="28" t="s">
        <v>2115</v>
      </c>
      <c r="L488" s="28" t="s">
        <v>1112</v>
      </c>
      <c r="M488" s="28" t="s">
        <v>1077</v>
      </c>
      <c r="N488" s="35" t="s">
        <v>2116</v>
      </c>
    </row>
    <row r="489" s="9" customFormat="1" ht="17.25" spans="1:14">
      <c r="A489" s="39" t="s">
        <v>2117</v>
      </c>
      <c r="B489" s="40" t="s">
        <v>2117</v>
      </c>
      <c r="C489" s="40" t="s">
        <v>2117</v>
      </c>
      <c r="D489" s="41" t="s">
        <v>702</v>
      </c>
      <c r="E489" s="41" t="s">
        <v>702</v>
      </c>
      <c r="F489" s="41">
        <v>888888</v>
      </c>
      <c r="G489" s="41">
        <v>888888</v>
      </c>
      <c r="H489" s="40" t="s">
        <v>2118</v>
      </c>
      <c r="I489" s="40"/>
      <c r="J489" s="40"/>
      <c r="K489" s="40" t="s">
        <v>2119</v>
      </c>
      <c r="L489" s="40" t="s">
        <v>1097</v>
      </c>
      <c r="M489" s="41" t="s">
        <v>1077</v>
      </c>
      <c r="N489" s="42">
        <v>32926</v>
      </c>
    </row>
    <row r="490" s="9" customFormat="1" ht="16.5" spans="1:14">
      <c r="A490" s="33" t="s">
        <v>2120</v>
      </c>
      <c r="B490" s="28" t="s">
        <v>2120</v>
      </c>
      <c r="C490" s="28" t="s">
        <v>2120</v>
      </c>
      <c r="D490" s="28" t="s">
        <v>1979</v>
      </c>
      <c r="E490" s="28" t="s">
        <v>1979</v>
      </c>
      <c r="F490" s="28">
        <v>888888</v>
      </c>
      <c r="G490" s="28">
        <v>888888</v>
      </c>
      <c r="H490" s="38" t="s">
        <v>2121</v>
      </c>
      <c r="I490" s="28"/>
      <c r="J490" s="28"/>
      <c r="K490" s="28" t="s">
        <v>2122</v>
      </c>
      <c r="L490" s="28" t="s">
        <v>1294</v>
      </c>
      <c r="M490" s="28" t="s">
        <v>1077</v>
      </c>
      <c r="N490" s="35">
        <v>30567</v>
      </c>
    </row>
    <row r="491" s="9" customFormat="1" ht="17.25" spans="1:14">
      <c r="A491" s="39" t="s">
        <v>2123</v>
      </c>
      <c r="B491" s="40" t="s">
        <v>2123</v>
      </c>
      <c r="C491" s="40" t="s">
        <v>2123</v>
      </c>
      <c r="D491" s="41" t="s">
        <v>1979</v>
      </c>
      <c r="E491" s="41" t="s">
        <v>1979</v>
      </c>
      <c r="F491" s="41">
        <v>888888</v>
      </c>
      <c r="G491" s="41">
        <v>888888</v>
      </c>
      <c r="H491" s="40" t="s">
        <v>2124</v>
      </c>
      <c r="I491" s="40"/>
      <c r="J491" s="40"/>
      <c r="K491" s="40" t="s">
        <v>2125</v>
      </c>
      <c r="L491" s="40" t="s">
        <v>1097</v>
      </c>
      <c r="M491" s="41" t="s">
        <v>1077</v>
      </c>
      <c r="N491" s="42">
        <v>33897</v>
      </c>
    </row>
    <row r="492" s="9" customFormat="1" ht="16.5" spans="1:14">
      <c r="A492" s="33" t="s">
        <v>2126</v>
      </c>
      <c r="B492" s="28" t="s">
        <v>2126</v>
      </c>
      <c r="C492" s="28" t="s">
        <v>2126</v>
      </c>
      <c r="D492" s="28" t="s">
        <v>1979</v>
      </c>
      <c r="E492" s="28" t="s">
        <v>1979</v>
      </c>
      <c r="F492" s="28">
        <v>888888</v>
      </c>
      <c r="G492" s="28">
        <v>888888</v>
      </c>
      <c r="H492" s="38" t="s">
        <v>2127</v>
      </c>
      <c r="I492" s="28"/>
      <c r="J492" s="28"/>
      <c r="K492" s="28" t="s">
        <v>1996</v>
      </c>
      <c r="L492" s="28" t="s">
        <v>1193</v>
      </c>
      <c r="M492" s="28" t="s">
        <v>1077</v>
      </c>
      <c r="N492" s="35" t="s">
        <v>1997</v>
      </c>
    </row>
    <row r="493" s="9" customFormat="1" ht="17.25" spans="1:14">
      <c r="A493" s="39" t="s">
        <v>2128</v>
      </c>
      <c r="B493" s="40" t="s">
        <v>2128</v>
      </c>
      <c r="C493" s="40" t="s">
        <v>2128</v>
      </c>
      <c r="D493" s="41" t="s">
        <v>1979</v>
      </c>
      <c r="E493" s="41" t="s">
        <v>1979</v>
      </c>
      <c r="F493" s="41">
        <v>888888</v>
      </c>
      <c r="G493" s="41">
        <v>888888</v>
      </c>
      <c r="H493" s="40" t="s">
        <v>2129</v>
      </c>
      <c r="I493" s="40"/>
      <c r="J493" s="40"/>
      <c r="K493" s="40" t="s">
        <v>2057</v>
      </c>
      <c r="L493" s="40" t="s">
        <v>1117</v>
      </c>
      <c r="M493" s="41" t="s">
        <v>1077</v>
      </c>
      <c r="N493" s="42" t="s">
        <v>2130</v>
      </c>
    </row>
    <row r="494" s="9" customFormat="1" ht="16.5" spans="1:14">
      <c r="A494" s="33" t="s">
        <v>2131</v>
      </c>
      <c r="B494" s="28" t="s">
        <v>2131</v>
      </c>
      <c r="C494" s="28" t="s">
        <v>2131</v>
      </c>
      <c r="D494" s="28" t="s">
        <v>1979</v>
      </c>
      <c r="E494" s="28" t="s">
        <v>1979</v>
      </c>
      <c r="F494" s="28">
        <v>888888</v>
      </c>
      <c r="G494" s="28">
        <v>888888</v>
      </c>
      <c r="H494" s="38" t="s">
        <v>2132</v>
      </c>
      <c r="I494" s="28"/>
      <c r="J494" s="28"/>
      <c r="K494" s="28" t="s">
        <v>1420</v>
      </c>
      <c r="L494" s="28" t="s">
        <v>1077</v>
      </c>
      <c r="M494" s="28" t="s">
        <v>1077</v>
      </c>
      <c r="N494" s="35">
        <v>76052</v>
      </c>
    </row>
    <row r="495" s="9" customFormat="1" ht="17.25" spans="1:14">
      <c r="A495" s="39" t="s">
        <v>2133</v>
      </c>
      <c r="B495" s="40" t="s">
        <v>2133</v>
      </c>
      <c r="C495" s="40" t="s">
        <v>2133</v>
      </c>
      <c r="D495" s="41" t="s">
        <v>1979</v>
      </c>
      <c r="E495" s="41" t="s">
        <v>1979</v>
      </c>
      <c r="F495" s="41">
        <v>888888</v>
      </c>
      <c r="G495" s="41">
        <v>888888</v>
      </c>
      <c r="H495" s="40" t="s">
        <v>2134</v>
      </c>
      <c r="I495" s="40"/>
      <c r="J495" s="40"/>
      <c r="K495" s="40" t="s">
        <v>2135</v>
      </c>
      <c r="L495" s="40" t="s">
        <v>1154</v>
      </c>
      <c r="M495" s="41" t="s">
        <v>1077</v>
      </c>
      <c r="N495" s="42">
        <v>60436</v>
      </c>
    </row>
    <row r="496" s="9" customFormat="1" ht="16.5" spans="1:14">
      <c r="A496" s="33" t="s">
        <v>2136</v>
      </c>
      <c r="B496" s="28" t="s">
        <v>2136</v>
      </c>
      <c r="C496" s="28" t="s">
        <v>2136</v>
      </c>
      <c r="D496" s="28" t="s">
        <v>702</v>
      </c>
      <c r="E496" s="28" t="s">
        <v>702</v>
      </c>
      <c r="F496" s="28">
        <v>888888</v>
      </c>
      <c r="G496" s="28">
        <v>888888</v>
      </c>
      <c r="H496" s="38" t="s">
        <v>2137</v>
      </c>
      <c r="I496" s="28"/>
      <c r="J496" s="28"/>
      <c r="K496" s="28" t="s">
        <v>1059</v>
      </c>
      <c r="L496" s="28" t="s">
        <v>998</v>
      </c>
      <c r="M496" s="28" t="s">
        <v>993</v>
      </c>
      <c r="N496" s="35" t="s">
        <v>2136</v>
      </c>
    </row>
    <row r="497" s="9" customFormat="1" ht="17.25" spans="1:14">
      <c r="A497" s="39" t="s">
        <v>2138</v>
      </c>
      <c r="B497" s="40" t="s">
        <v>2138</v>
      </c>
      <c r="C497" s="40" t="s">
        <v>2138</v>
      </c>
      <c r="D497" s="41" t="s">
        <v>1979</v>
      </c>
      <c r="E497" s="41" t="s">
        <v>1979</v>
      </c>
      <c r="F497" s="41">
        <v>888888</v>
      </c>
      <c r="G497" s="41">
        <v>888888</v>
      </c>
      <c r="H497" s="40" t="s">
        <v>2082</v>
      </c>
      <c r="I497" s="40"/>
      <c r="J497" s="40"/>
      <c r="K497" s="40" t="s">
        <v>2083</v>
      </c>
      <c r="L497" s="40" t="s">
        <v>1401</v>
      </c>
      <c r="M497" s="41" t="s">
        <v>1077</v>
      </c>
      <c r="N497" s="42">
        <v>66619</v>
      </c>
    </row>
    <row r="498" s="9" customFormat="1" ht="16.5" spans="1:14">
      <c r="A498" s="33" t="s">
        <v>2139</v>
      </c>
      <c r="B498" s="28" t="s">
        <v>2139</v>
      </c>
      <c r="C498" s="28" t="s">
        <v>2139</v>
      </c>
      <c r="D498" s="28" t="s">
        <v>1979</v>
      </c>
      <c r="E498" s="28" t="s">
        <v>1979</v>
      </c>
      <c r="F498" s="28">
        <v>888888</v>
      </c>
      <c r="G498" s="28">
        <v>888888</v>
      </c>
      <c r="H498" s="38" t="s">
        <v>2140</v>
      </c>
      <c r="I498" s="28"/>
      <c r="J498" s="28"/>
      <c r="K498" s="28" t="s">
        <v>2141</v>
      </c>
      <c r="L498" s="28" t="s">
        <v>1117</v>
      </c>
      <c r="M498" s="28" t="s">
        <v>1077</v>
      </c>
      <c r="N498" s="35">
        <v>18015</v>
      </c>
    </row>
    <row r="499" s="9" customFormat="1" ht="17.25" spans="1:14">
      <c r="A499" s="39" t="s">
        <v>2142</v>
      </c>
      <c r="B499" s="40" t="s">
        <v>2142</v>
      </c>
      <c r="C499" s="40" t="s">
        <v>2142</v>
      </c>
      <c r="D499" s="41" t="s">
        <v>1979</v>
      </c>
      <c r="E499" s="41" t="s">
        <v>1979</v>
      </c>
      <c r="F499" s="41">
        <v>888888</v>
      </c>
      <c r="G499" s="41">
        <v>888888</v>
      </c>
      <c r="H499" s="40" t="s">
        <v>2143</v>
      </c>
      <c r="I499" s="40"/>
      <c r="J499" s="40"/>
      <c r="K499" s="40" t="s">
        <v>2144</v>
      </c>
      <c r="L499" s="40" t="s">
        <v>1145</v>
      </c>
      <c r="M499" s="41" t="s">
        <v>1077</v>
      </c>
      <c r="N499" s="42">
        <v>46055</v>
      </c>
    </row>
    <row r="500" s="9" customFormat="1" ht="16.5" spans="1:14">
      <c r="A500" s="33" t="s">
        <v>2145</v>
      </c>
      <c r="B500" s="28" t="s">
        <v>2145</v>
      </c>
      <c r="C500" s="28" t="s">
        <v>2145</v>
      </c>
      <c r="D500" s="28" t="s">
        <v>1979</v>
      </c>
      <c r="E500" s="28" t="s">
        <v>1979</v>
      </c>
      <c r="F500" s="28">
        <v>888888</v>
      </c>
      <c r="G500" s="28">
        <v>888888</v>
      </c>
      <c r="H500" s="38" t="s">
        <v>2146</v>
      </c>
      <c r="I500" s="28"/>
      <c r="J500" s="28"/>
      <c r="K500" s="28" t="s">
        <v>2049</v>
      </c>
      <c r="L500" s="28" t="s">
        <v>1438</v>
      </c>
      <c r="M500" s="28" t="s">
        <v>1077</v>
      </c>
      <c r="N500" s="35">
        <v>84116</v>
      </c>
    </row>
    <row r="501" s="9" customFormat="1" ht="17.25" spans="1:14">
      <c r="A501" s="39" t="s">
        <v>2147</v>
      </c>
      <c r="B501" s="40" t="s">
        <v>2147</v>
      </c>
      <c r="C501" s="40" t="s">
        <v>2147</v>
      </c>
      <c r="D501" s="41" t="s">
        <v>1979</v>
      </c>
      <c r="E501" s="41" t="s">
        <v>1979</v>
      </c>
      <c r="F501" s="41">
        <v>888888</v>
      </c>
      <c r="G501" s="41">
        <v>888888</v>
      </c>
      <c r="H501" s="40" t="s">
        <v>2148</v>
      </c>
      <c r="I501" s="40"/>
      <c r="J501" s="40"/>
      <c r="K501" s="40" t="s">
        <v>2149</v>
      </c>
      <c r="L501" s="40" t="s">
        <v>1112</v>
      </c>
      <c r="M501" s="41" t="s">
        <v>1077</v>
      </c>
      <c r="N501" s="42">
        <v>75146</v>
      </c>
    </row>
    <row r="502" s="9" customFormat="1" ht="16.5" spans="1:14">
      <c r="A502" s="33" t="s">
        <v>2150</v>
      </c>
      <c r="B502" s="28" t="s">
        <v>2150</v>
      </c>
      <c r="C502" s="28" t="s">
        <v>2150</v>
      </c>
      <c r="D502" s="28" t="s">
        <v>702</v>
      </c>
      <c r="E502" s="28" t="s">
        <v>702</v>
      </c>
      <c r="F502" s="28">
        <v>888888</v>
      </c>
      <c r="G502" s="28">
        <v>888888</v>
      </c>
      <c r="H502" s="38" t="s">
        <v>2151</v>
      </c>
      <c r="I502" s="28"/>
      <c r="J502" s="28"/>
      <c r="K502" s="28" t="s">
        <v>1957</v>
      </c>
      <c r="L502" s="28" t="s">
        <v>993</v>
      </c>
      <c r="M502" s="28" t="s">
        <v>1077</v>
      </c>
      <c r="N502" s="35">
        <v>91761</v>
      </c>
    </row>
    <row r="503" s="9" customFormat="1" ht="17.25" spans="1:14">
      <c r="A503" s="39" t="s">
        <v>2152</v>
      </c>
      <c r="B503" s="40" t="s">
        <v>2152</v>
      </c>
      <c r="C503" s="40" t="s">
        <v>2152</v>
      </c>
      <c r="D503" s="41" t="s">
        <v>702</v>
      </c>
      <c r="E503" s="41" t="s">
        <v>702</v>
      </c>
      <c r="F503" s="41">
        <v>888888</v>
      </c>
      <c r="G503" s="41">
        <v>888888</v>
      </c>
      <c r="H503" s="40" t="s">
        <v>2153</v>
      </c>
      <c r="I503" s="40"/>
      <c r="J503" s="40"/>
      <c r="K503" s="40" t="s">
        <v>2154</v>
      </c>
      <c r="L503" s="40" t="s">
        <v>993</v>
      </c>
      <c r="M503" s="41" t="s">
        <v>1077</v>
      </c>
      <c r="N503" s="42">
        <v>92518</v>
      </c>
    </row>
    <row r="504" s="9" customFormat="1" ht="16.5" spans="1:14">
      <c r="A504" s="33" t="s">
        <v>2155</v>
      </c>
      <c r="B504" s="28" t="s">
        <v>2155</v>
      </c>
      <c r="C504" s="28" t="s">
        <v>2155</v>
      </c>
      <c r="D504" s="28" t="s">
        <v>1979</v>
      </c>
      <c r="E504" s="28" t="s">
        <v>1979</v>
      </c>
      <c r="F504" s="28">
        <v>888888</v>
      </c>
      <c r="G504" s="28">
        <v>888888</v>
      </c>
      <c r="H504" s="38" t="s">
        <v>2156</v>
      </c>
      <c r="I504" s="28"/>
      <c r="J504" s="28"/>
      <c r="K504" s="28" t="s">
        <v>1543</v>
      </c>
      <c r="L504" s="28" t="s">
        <v>1131</v>
      </c>
      <c r="M504" s="28" t="s">
        <v>1077</v>
      </c>
      <c r="N504" s="35">
        <v>37090</v>
      </c>
    </row>
    <row r="505" s="9" customFormat="1" ht="17.25" spans="1:14">
      <c r="A505" s="39" t="s">
        <v>2157</v>
      </c>
      <c r="B505" s="40" t="s">
        <v>2157</v>
      </c>
      <c r="C505" s="40" t="s">
        <v>2157</v>
      </c>
      <c r="D505" s="41" t="s">
        <v>702</v>
      </c>
      <c r="E505" s="41" t="s">
        <v>702</v>
      </c>
      <c r="F505" s="41">
        <v>888888</v>
      </c>
      <c r="G505" s="41">
        <v>888888</v>
      </c>
      <c r="H505" s="40" t="s">
        <v>1881</v>
      </c>
      <c r="I505" s="40"/>
      <c r="J505" s="40"/>
      <c r="K505" s="40" t="s">
        <v>1882</v>
      </c>
      <c r="L505" s="40" t="s">
        <v>1097</v>
      </c>
      <c r="M505" s="41" t="s">
        <v>1077</v>
      </c>
      <c r="N505" s="42">
        <v>34986</v>
      </c>
    </row>
    <row r="506" s="9" customFormat="1" ht="16.5" spans="1:14">
      <c r="A506" s="33" t="s">
        <v>2158</v>
      </c>
      <c r="B506" s="28" t="s">
        <v>2158</v>
      </c>
      <c r="C506" s="28" t="s">
        <v>2158</v>
      </c>
      <c r="D506" s="28" t="s">
        <v>702</v>
      </c>
      <c r="E506" s="28" t="s">
        <v>702</v>
      </c>
      <c r="F506" s="28">
        <v>888888</v>
      </c>
      <c r="G506" s="28">
        <v>888888</v>
      </c>
      <c r="H506" s="38" t="s">
        <v>2159</v>
      </c>
      <c r="I506" s="28"/>
      <c r="J506" s="28"/>
      <c r="K506" s="28" t="s">
        <v>2160</v>
      </c>
      <c r="L506" s="28" t="s">
        <v>1140</v>
      </c>
      <c r="M506" s="28" t="s">
        <v>1077</v>
      </c>
      <c r="N506" s="35">
        <v>43551</v>
      </c>
    </row>
    <row r="507" s="9" customFormat="1" ht="17.25" spans="1:14">
      <c r="A507" s="39" t="s">
        <v>2161</v>
      </c>
      <c r="B507" s="40" t="s">
        <v>2161</v>
      </c>
      <c r="C507" s="40" t="s">
        <v>2161</v>
      </c>
      <c r="D507" s="41" t="s">
        <v>702</v>
      </c>
      <c r="E507" s="41" t="s">
        <v>702</v>
      </c>
      <c r="F507" s="41">
        <v>888888</v>
      </c>
      <c r="G507" s="41">
        <v>888888</v>
      </c>
      <c r="H507" s="40" t="s">
        <v>2162</v>
      </c>
      <c r="I507" s="40"/>
      <c r="J507" s="40"/>
      <c r="K507" s="40" t="s">
        <v>1059</v>
      </c>
      <c r="L507" s="40" t="s">
        <v>998</v>
      </c>
      <c r="M507" s="41" t="s">
        <v>993</v>
      </c>
      <c r="N507" s="42" t="s">
        <v>2163</v>
      </c>
    </row>
    <row r="508" s="9" customFormat="1" ht="16.5" spans="1:14">
      <c r="A508" s="33" t="s">
        <v>2164</v>
      </c>
      <c r="B508" s="28" t="s">
        <v>2164</v>
      </c>
      <c r="C508" s="28" t="s">
        <v>2164</v>
      </c>
      <c r="D508" s="28" t="s">
        <v>702</v>
      </c>
      <c r="E508" s="28" t="s">
        <v>702</v>
      </c>
      <c r="F508" s="28">
        <v>888888</v>
      </c>
      <c r="G508" s="28">
        <v>888888</v>
      </c>
      <c r="H508" s="38" t="s">
        <v>2165</v>
      </c>
      <c r="I508" s="28"/>
      <c r="J508" s="28"/>
      <c r="K508" s="28" t="s">
        <v>1026</v>
      </c>
      <c r="L508" s="28" t="s">
        <v>1027</v>
      </c>
      <c r="M508" s="28" t="s">
        <v>993</v>
      </c>
      <c r="N508" s="35" t="s">
        <v>2166</v>
      </c>
    </row>
    <row r="509" s="9" customFormat="1" ht="17.25" spans="1:14">
      <c r="A509" s="39" t="s">
        <v>2167</v>
      </c>
      <c r="B509" s="40" t="s">
        <v>2167</v>
      </c>
      <c r="C509" s="40" t="s">
        <v>2167</v>
      </c>
      <c r="D509" s="41" t="s">
        <v>1979</v>
      </c>
      <c r="E509" s="41" t="s">
        <v>1979</v>
      </c>
      <c r="F509" s="41">
        <v>888888</v>
      </c>
      <c r="G509" s="41">
        <v>888888</v>
      </c>
      <c r="H509" s="40" t="s">
        <v>2168</v>
      </c>
      <c r="I509" s="40"/>
      <c r="J509" s="40"/>
      <c r="K509" s="40" t="s">
        <v>2141</v>
      </c>
      <c r="L509" s="40" t="s">
        <v>1117</v>
      </c>
      <c r="M509" s="41" t="s">
        <v>1077</v>
      </c>
      <c r="N509" s="42">
        <v>18015</v>
      </c>
    </row>
    <row r="510" s="9" customFormat="1" ht="16.5" spans="1:14">
      <c r="A510" s="33" t="s">
        <v>2169</v>
      </c>
      <c r="B510" s="28" t="s">
        <v>2169</v>
      </c>
      <c r="C510" s="28" t="s">
        <v>2169</v>
      </c>
      <c r="D510" s="28" t="s">
        <v>1979</v>
      </c>
      <c r="E510" s="28" t="s">
        <v>1979</v>
      </c>
      <c r="F510" s="28">
        <v>888888</v>
      </c>
      <c r="G510" s="28">
        <v>888888</v>
      </c>
      <c r="H510" s="38" t="s">
        <v>2168</v>
      </c>
      <c r="I510" s="28"/>
      <c r="J510" s="28"/>
      <c r="K510" s="28" t="s">
        <v>2141</v>
      </c>
      <c r="L510" s="28" t="s">
        <v>1117</v>
      </c>
      <c r="M510" s="28" t="s">
        <v>1077</v>
      </c>
      <c r="N510" s="35">
        <v>18015</v>
      </c>
    </row>
    <row r="511" s="9" customFormat="1" ht="17.25" spans="1:14">
      <c r="A511" s="39" t="s">
        <v>2170</v>
      </c>
      <c r="B511" s="40" t="s">
        <v>2170</v>
      </c>
      <c r="C511" s="40" t="s">
        <v>2170</v>
      </c>
      <c r="D511" s="41" t="s">
        <v>2171</v>
      </c>
      <c r="E511" s="41" t="s">
        <v>2171</v>
      </c>
      <c r="F511" s="41">
        <v>888888</v>
      </c>
      <c r="G511" s="41">
        <v>888888</v>
      </c>
      <c r="H511" s="40" t="s">
        <v>2172</v>
      </c>
      <c r="I511" s="40"/>
      <c r="J511" s="40"/>
      <c r="K511" s="40" t="s">
        <v>2173</v>
      </c>
      <c r="L511" s="40" t="s">
        <v>993</v>
      </c>
      <c r="M511" s="41" t="s">
        <v>1077</v>
      </c>
      <c r="N511" s="42">
        <v>92223</v>
      </c>
    </row>
    <row r="512" s="9" customFormat="1" ht="33" spans="1:14">
      <c r="A512" s="33" t="s">
        <v>2174</v>
      </c>
      <c r="B512" s="28" t="s">
        <v>2174</v>
      </c>
      <c r="C512" s="28" t="s">
        <v>2174</v>
      </c>
      <c r="D512" s="28" t="s">
        <v>2171</v>
      </c>
      <c r="E512" s="28" t="s">
        <v>2171</v>
      </c>
      <c r="F512" s="28">
        <v>888888</v>
      </c>
      <c r="G512" s="28">
        <v>888888</v>
      </c>
      <c r="H512" s="38" t="s">
        <v>2172</v>
      </c>
      <c r="I512" s="28"/>
      <c r="J512" s="28"/>
      <c r="K512" s="28" t="s">
        <v>2173</v>
      </c>
      <c r="L512" s="28" t="s">
        <v>993</v>
      </c>
      <c r="M512" s="28" t="s">
        <v>1077</v>
      </c>
      <c r="N512" s="35">
        <v>92223</v>
      </c>
    </row>
    <row r="513" s="9" customFormat="1" ht="17.25" spans="1:14">
      <c r="A513" s="39" t="s">
        <v>2175</v>
      </c>
      <c r="B513" s="40" t="s">
        <v>2175</v>
      </c>
      <c r="C513" s="40" t="s">
        <v>2175</v>
      </c>
      <c r="D513" s="41" t="s">
        <v>2176</v>
      </c>
      <c r="E513" s="41" t="s">
        <v>2176</v>
      </c>
      <c r="F513" s="41">
        <v>888888</v>
      </c>
      <c r="G513" s="41">
        <v>888888</v>
      </c>
      <c r="H513" s="40" t="s">
        <v>2177</v>
      </c>
      <c r="I513" s="40"/>
      <c r="J513" s="40"/>
      <c r="K513" s="40" t="s">
        <v>2178</v>
      </c>
      <c r="L513" s="40" t="s">
        <v>1193</v>
      </c>
      <c r="M513" s="41" t="s">
        <v>1077</v>
      </c>
      <c r="N513" s="91" t="s">
        <v>2179</v>
      </c>
    </row>
    <row r="514" s="9" customFormat="1" ht="16.5" spans="1:14">
      <c r="A514" s="33" t="s">
        <v>2180</v>
      </c>
      <c r="B514" s="28" t="s">
        <v>2180</v>
      </c>
      <c r="C514" s="28" t="s">
        <v>2180</v>
      </c>
      <c r="D514" s="28" t="s">
        <v>2181</v>
      </c>
      <c r="E514" s="28" t="s">
        <v>2181</v>
      </c>
      <c r="F514" s="28">
        <v>888888</v>
      </c>
      <c r="G514" s="28">
        <v>888888</v>
      </c>
      <c r="H514" s="38" t="s">
        <v>2182</v>
      </c>
      <c r="I514" s="28"/>
      <c r="J514" s="28"/>
      <c r="K514" s="28" t="s">
        <v>2183</v>
      </c>
      <c r="L514" s="28" t="s">
        <v>1117</v>
      </c>
      <c r="M514" s="28" t="s">
        <v>1077</v>
      </c>
      <c r="N514" s="35">
        <v>19030</v>
      </c>
    </row>
    <row r="515" s="9" customFormat="1" ht="17.25" spans="1:14">
      <c r="A515" s="39" t="s">
        <v>2184</v>
      </c>
      <c r="B515" s="40" t="s">
        <v>2184</v>
      </c>
      <c r="C515" s="40" t="s">
        <v>2184</v>
      </c>
      <c r="D515" s="41" t="s">
        <v>2185</v>
      </c>
      <c r="E515" s="41" t="s">
        <v>2185</v>
      </c>
      <c r="F515" s="41">
        <v>888888</v>
      </c>
      <c r="G515" s="41">
        <v>888888</v>
      </c>
      <c r="H515" s="40" t="s">
        <v>2186</v>
      </c>
      <c r="I515" s="40"/>
      <c r="J515" s="40"/>
      <c r="K515" s="40" t="s">
        <v>2187</v>
      </c>
      <c r="L515" s="40" t="s">
        <v>1145</v>
      </c>
      <c r="M515" s="41" t="s">
        <v>1077</v>
      </c>
      <c r="N515" s="42">
        <v>46075</v>
      </c>
    </row>
    <row r="516" s="9" customFormat="1" ht="16.5" spans="1:14">
      <c r="A516" s="33" t="s">
        <v>2188</v>
      </c>
      <c r="B516" s="28" t="s">
        <v>2188</v>
      </c>
      <c r="C516" s="28" t="s">
        <v>2188</v>
      </c>
      <c r="D516" s="28" t="s">
        <v>2189</v>
      </c>
      <c r="E516" s="28" t="s">
        <v>2189</v>
      </c>
      <c r="F516" s="28">
        <v>888888</v>
      </c>
      <c r="G516" s="28">
        <v>888888</v>
      </c>
      <c r="H516" s="38" t="s">
        <v>2190</v>
      </c>
      <c r="I516" s="28"/>
      <c r="J516" s="28"/>
      <c r="K516" s="28" t="s">
        <v>1201</v>
      </c>
      <c r="L516" s="28" t="s">
        <v>1193</v>
      </c>
      <c r="M516" s="28" t="s">
        <v>1077</v>
      </c>
      <c r="N516" s="92" t="s">
        <v>2191</v>
      </c>
    </row>
    <row r="517" s="9" customFormat="1" ht="17.25" spans="1:14">
      <c r="A517" s="39" t="s">
        <v>2192</v>
      </c>
      <c r="B517" s="40" t="s">
        <v>2192</v>
      </c>
      <c r="C517" s="40" t="s">
        <v>2192</v>
      </c>
      <c r="D517" s="41" t="s">
        <v>2189</v>
      </c>
      <c r="E517" s="41" t="s">
        <v>2189</v>
      </c>
      <c r="F517" s="41">
        <v>888888</v>
      </c>
      <c r="G517" s="41">
        <v>888888</v>
      </c>
      <c r="H517" s="40" t="s">
        <v>2193</v>
      </c>
      <c r="I517" s="40"/>
      <c r="J517" s="40"/>
      <c r="K517" s="40" t="s">
        <v>2064</v>
      </c>
      <c r="L517" s="40" t="s">
        <v>993</v>
      </c>
      <c r="M517" s="41" t="s">
        <v>1077</v>
      </c>
      <c r="N517" s="42">
        <v>92571</v>
      </c>
    </row>
    <row r="518" s="9" customFormat="1" ht="16.5" spans="1:14">
      <c r="A518" s="33" t="s">
        <v>2194</v>
      </c>
      <c r="B518" s="28" t="s">
        <v>2194</v>
      </c>
      <c r="C518" s="28" t="s">
        <v>2194</v>
      </c>
      <c r="D518" s="28" t="s">
        <v>2189</v>
      </c>
      <c r="E518" s="28" t="s">
        <v>2189</v>
      </c>
      <c r="F518" s="28">
        <v>888888</v>
      </c>
      <c r="G518" s="28">
        <v>888888</v>
      </c>
      <c r="H518" s="38" t="s">
        <v>2195</v>
      </c>
      <c r="I518" s="28"/>
      <c r="J518" s="28"/>
      <c r="K518" s="28" t="s">
        <v>2196</v>
      </c>
      <c r="L518" s="28" t="s">
        <v>1193</v>
      </c>
      <c r="M518" s="28" t="s">
        <v>1077</v>
      </c>
      <c r="N518" s="92" t="s">
        <v>2197</v>
      </c>
    </row>
    <row r="519" s="9" customFormat="1" ht="17.25" spans="1:14">
      <c r="A519" s="39" t="s">
        <v>2198</v>
      </c>
      <c r="B519" s="40" t="s">
        <v>2198</v>
      </c>
      <c r="C519" s="40" t="s">
        <v>2198</v>
      </c>
      <c r="D519" s="41" t="s">
        <v>2189</v>
      </c>
      <c r="E519" s="41" t="s">
        <v>2189</v>
      </c>
      <c r="F519" s="41">
        <v>888888</v>
      </c>
      <c r="G519" s="41">
        <v>888888</v>
      </c>
      <c r="H519" s="40" t="s">
        <v>2199</v>
      </c>
      <c r="I519" s="40"/>
      <c r="J519" s="40"/>
      <c r="K519" s="40" t="s">
        <v>2200</v>
      </c>
      <c r="L519" s="40" t="s">
        <v>1294</v>
      </c>
      <c r="M519" s="41" t="s">
        <v>1077</v>
      </c>
      <c r="N519" s="42">
        <v>30046</v>
      </c>
    </row>
    <row r="520" s="9" customFormat="1" ht="16.5" spans="1:14">
      <c r="A520" s="33" t="s">
        <v>2201</v>
      </c>
      <c r="B520" s="28" t="s">
        <v>2201</v>
      </c>
      <c r="C520" s="28" t="s">
        <v>2201</v>
      </c>
      <c r="D520" s="28" t="s">
        <v>2189</v>
      </c>
      <c r="E520" s="28" t="s">
        <v>2189</v>
      </c>
      <c r="F520" s="28">
        <v>888888</v>
      </c>
      <c r="G520" s="28">
        <v>888888</v>
      </c>
      <c r="H520" s="38" t="s">
        <v>2202</v>
      </c>
      <c r="I520" s="28"/>
      <c r="J520" s="28"/>
      <c r="K520" s="28" t="s">
        <v>2203</v>
      </c>
      <c r="L520" s="28" t="s">
        <v>1294</v>
      </c>
      <c r="M520" s="28" t="s">
        <v>1077</v>
      </c>
      <c r="N520" s="35">
        <v>30518</v>
      </c>
    </row>
    <row r="521" s="9" customFormat="1" ht="17.25" spans="1:14">
      <c r="A521" s="39" t="s">
        <v>2204</v>
      </c>
      <c r="B521" s="40" t="s">
        <v>2204</v>
      </c>
      <c r="C521" s="40" t="s">
        <v>2204</v>
      </c>
      <c r="D521" s="41" t="s">
        <v>2189</v>
      </c>
      <c r="E521" s="41" t="s">
        <v>2189</v>
      </c>
      <c r="F521" s="41">
        <v>888888</v>
      </c>
      <c r="G521" s="41">
        <v>888888</v>
      </c>
      <c r="H521" s="40" t="s">
        <v>2205</v>
      </c>
      <c r="I521" s="40"/>
      <c r="J521" s="40"/>
      <c r="K521" s="40" t="s">
        <v>1776</v>
      </c>
      <c r="L521" s="40" t="s">
        <v>993</v>
      </c>
      <c r="M521" s="41" t="s">
        <v>1077</v>
      </c>
      <c r="N521" s="42">
        <v>92337</v>
      </c>
    </row>
    <row r="522" s="9" customFormat="1" ht="16.5" spans="1:14">
      <c r="A522" s="33" t="s">
        <v>2206</v>
      </c>
      <c r="B522" s="28" t="s">
        <v>2206</v>
      </c>
      <c r="C522" s="28" t="s">
        <v>2206</v>
      </c>
      <c r="D522" s="28" t="s">
        <v>2189</v>
      </c>
      <c r="E522" s="28" t="s">
        <v>2189</v>
      </c>
      <c r="F522" s="28">
        <v>888888</v>
      </c>
      <c r="G522" s="28">
        <v>888888</v>
      </c>
      <c r="H522" s="38" t="s">
        <v>2207</v>
      </c>
      <c r="I522" s="28"/>
      <c r="J522" s="28"/>
      <c r="K522" s="28" t="s">
        <v>1776</v>
      </c>
      <c r="L522" s="28" t="s">
        <v>993</v>
      </c>
      <c r="M522" s="28" t="s">
        <v>1077</v>
      </c>
      <c r="N522" s="35">
        <v>92337</v>
      </c>
    </row>
    <row r="523" s="9" customFormat="1" ht="17.25" spans="1:14">
      <c r="A523" s="39" t="s">
        <v>2208</v>
      </c>
      <c r="B523" s="40" t="s">
        <v>2208</v>
      </c>
      <c r="C523" s="40" t="s">
        <v>2208</v>
      </c>
      <c r="D523" s="41" t="s">
        <v>2189</v>
      </c>
      <c r="E523" s="41" t="s">
        <v>2189</v>
      </c>
      <c r="F523" s="41">
        <v>888888</v>
      </c>
      <c r="G523" s="41">
        <v>888888</v>
      </c>
      <c r="H523" s="40" t="s">
        <v>2209</v>
      </c>
      <c r="I523" s="40"/>
      <c r="J523" s="40"/>
      <c r="K523" s="40" t="s">
        <v>2210</v>
      </c>
      <c r="L523" s="40" t="s">
        <v>2211</v>
      </c>
      <c r="M523" s="41" t="s">
        <v>1077</v>
      </c>
      <c r="N523" s="42">
        <v>77494</v>
      </c>
    </row>
    <row r="524" s="9" customFormat="1" ht="33" spans="1:14">
      <c r="A524" s="33" t="s">
        <v>2212</v>
      </c>
      <c r="B524" s="28" t="s">
        <v>2212</v>
      </c>
      <c r="C524" s="28" t="s">
        <v>2212</v>
      </c>
      <c r="D524" s="28" t="s">
        <v>2213</v>
      </c>
      <c r="E524" s="28" t="s">
        <v>2213</v>
      </c>
      <c r="F524" s="28">
        <v>888888</v>
      </c>
      <c r="G524" s="28">
        <v>888888</v>
      </c>
      <c r="H524" s="38" t="s">
        <v>2214</v>
      </c>
      <c r="I524" s="28"/>
      <c r="J524" s="28"/>
      <c r="K524" s="28" t="s">
        <v>2215</v>
      </c>
      <c r="L524" s="28" t="s">
        <v>2216</v>
      </c>
      <c r="M524" s="28" t="s">
        <v>2217</v>
      </c>
      <c r="N524" s="35">
        <v>54616</v>
      </c>
    </row>
    <row r="525" s="9" customFormat="1" ht="17.25" spans="1:14">
      <c r="A525" s="39" t="s">
        <v>2218</v>
      </c>
      <c r="B525" s="40" t="s">
        <v>2218</v>
      </c>
      <c r="C525" s="40" t="s">
        <v>2218</v>
      </c>
      <c r="D525" s="41" t="s">
        <v>2219</v>
      </c>
      <c r="E525" s="41" t="s">
        <v>2219</v>
      </c>
      <c r="F525" s="41">
        <v>888888</v>
      </c>
      <c r="G525" s="41">
        <v>888888</v>
      </c>
      <c r="H525" s="40" t="s">
        <v>2220</v>
      </c>
      <c r="I525" s="40" t="s">
        <v>2221</v>
      </c>
      <c r="J525" s="40"/>
      <c r="K525" s="40" t="s">
        <v>2222</v>
      </c>
      <c r="L525" s="40" t="s">
        <v>2216</v>
      </c>
      <c r="M525" s="41" t="s">
        <v>2217</v>
      </c>
      <c r="N525" s="42">
        <v>54800</v>
      </c>
    </row>
    <row r="526" s="9" customFormat="1" ht="16.5" spans="1:14">
      <c r="A526" s="33" t="s">
        <v>2223</v>
      </c>
      <c r="B526" s="28" t="s">
        <v>2223</v>
      </c>
      <c r="C526" s="28" t="s">
        <v>2223</v>
      </c>
      <c r="D526" s="28" t="s">
        <v>2224</v>
      </c>
      <c r="E526" s="28" t="s">
        <v>2224</v>
      </c>
      <c r="F526" s="28">
        <v>888888</v>
      </c>
      <c r="G526" s="28">
        <v>888888</v>
      </c>
      <c r="H526" s="38" t="s">
        <v>2225</v>
      </c>
      <c r="I526" s="28" t="s">
        <v>2226</v>
      </c>
      <c r="J526" s="28"/>
      <c r="K526" s="28" t="s">
        <v>2222</v>
      </c>
      <c r="L526" s="28" t="s">
        <v>2216</v>
      </c>
      <c r="M526" s="28" t="s">
        <v>2217</v>
      </c>
      <c r="N526" s="35">
        <v>54800</v>
      </c>
    </row>
    <row r="527" s="9" customFormat="1" ht="17.25" spans="1:14">
      <c r="A527" s="39" t="s">
        <v>2227</v>
      </c>
      <c r="B527" s="40" t="s">
        <v>2227</v>
      </c>
      <c r="C527" s="40" t="s">
        <v>2227</v>
      </c>
      <c r="D527" s="41" t="s">
        <v>2228</v>
      </c>
      <c r="E527" s="41" t="s">
        <v>2228</v>
      </c>
      <c r="F527" s="41">
        <v>888888</v>
      </c>
      <c r="G527" s="41">
        <v>888888</v>
      </c>
      <c r="H527" s="40" t="s">
        <v>2229</v>
      </c>
      <c r="I527" s="40" t="s">
        <v>2230</v>
      </c>
      <c r="J527" s="40"/>
      <c r="K527" s="40" t="s">
        <v>2222</v>
      </c>
      <c r="L527" s="40" t="s">
        <v>2216</v>
      </c>
      <c r="M527" s="41" t="s">
        <v>2217</v>
      </c>
      <c r="N527" s="42">
        <v>54803</v>
      </c>
    </row>
    <row r="528" s="9" customFormat="1" ht="16.5" spans="1:14">
      <c r="A528" s="33" t="s">
        <v>2231</v>
      </c>
      <c r="B528" s="28" t="s">
        <v>2231</v>
      </c>
      <c r="C528" s="28" t="s">
        <v>2231</v>
      </c>
      <c r="D528" s="28" t="s">
        <v>2232</v>
      </c>
      <c r="E528" s="28" t="s">
        <v>2232</v>
      </c>
      <c r="F528" s="28">
        <v>888888</v>
      </c>
      <c r="G528" s="28">
        <v>888888</v>
      </c>
      <c r="H528" s="38" t="s">
        <v>2233</v>
      </c>
      <c r="I528" s="28"/>
      <c r="J528" s="28"/>
      <c r="K528" s="28" t="s">
        <v>2216</v>
      </c>
      <c r="L528" s="28" t="s">
        <v>2216</v>
      </c>
      <c r="M528" s="28" t="s">
        <v>2217</v>
      </c>
      <c r="N528" s="35">
        <v>54715</v>
      </c>
    </row>
    <row r="529" s="9" customFormat="1" ht="17.25" spans="1:14">
      <c r="A529" s="39" t="s">
        <v>2234</v>
      </c>
      <c r="B529" s="40" t="s">
        <v>2234</v>
      </c>
      <c r="C529" s="40" t="s">
        <v>2234</v>
      </c>
      <c r="D529" s="41" t="s">
        <v>2235</v>
      </c>
      <c r="E529" s="41" t="s">
        <v>2235</v>
      </c>
      <c r="F529" s="41">
        <v>888888</v>
      </c>
      <c r="G529" s="41">
        <v>888888</v>
      </c>
      <c r="H529" s="40" t="s">
        <v>2233</v>
      </c>
      <c r="I529" s="40"/>
      <c r="J529" s="40"/>
      <c r="K529" s="40" t="s">
        <v>2216</v>
      </c>
      <c r="L529" s="40" t="s">
        <v>2216</v>
      </c>
      <c r="M529" s="41" t="s">
        <v>2217</v>
      </c>
      <c r="N529" s="42">
        <v>54769</v>
      </c>
    </row>
    <row r="530" s="9" customFormat="1" ht="33" spans="1:14">
      <c r="A530" s="33" t="s">
        <v>2236</v>
      </c>
      <c r="B530" s="28" t="s">
        <v>2236</v>
      </c>
      <c r="C530" s="28" t="s">
        <v>2236</v>
      </c>
      <c r="D530" s="28" t="s">
        <v>2237</v>
      </c>
      <c r="E530" s="28" t="s">
        <v>2237</v>
      </c>
      <c r="F530" s="28">
        <v>888888</v>
      </c>
      <c r="G530" s="28">
        <v>888888</v>
      </c>
      <c r="H530" s="38" t="s">
        <v>2238</v>
      </c>
      <c r="I530" s="28"/>
      <c r="J530" s="28"/>
      <c r="K530" s="28" t="s">
        <v>2239</v>
      </c>
      <c r="L530" s="28" t="s">
        <v>2216</v>
      </c>
      <c r="M530" s="28" t="s">
        <v>2217</v>
      </c>
      <c r="N530" s="35">
        <v>54607</v>
      </c>
    </row>
    <row r="531" s="9" customFormat="1" ht="17.25" spans="1:14">
      <c r="A531" s="39" t="s">
        <v>2240</v>
      </c>
      <c r="B531" s="40" t="s">
        <v>2240</v>
      </c>
      <c r="C531" s="40" t="s">
        <v>2240</v>
      </c>
      <c r="D531" s="41" t="s">
        <v>2241</v>
      </c>
      <c r="E531" s="41" t="s">
        <v>2241</v>
      </c>
      <c r="F531" s="41">
        <v>888888</v>
      </c>
      <c r="G531" s="41">
        <v>888888</v>
      </c>
      <c r="H531" s="40" t="s">
        <v>2242</v>
      </c>
      <c r="I531" s="40"/>
      <c r="J531" s="40"/>
      <c r="K531" s="40" t="s">
        <v>2239</v>
      </c>
      <c r="L531" s="40" t="s">
        <v>2216</v>
      </c>
      <c r="M531" s="41" t="s">
        <v>2217</v>
      </c>
      <c r="N531" s="42">
        <v>54607</v>
      </c>
    </row>
    <row r="532" s="9" customFormat="1" ht="49.5" spans="1:14">
      <c r="A532" s="33" t="s">
        <v>2243</v>
      </c>
      <c r="B532" s="28" t="s">
        <v>2243</v>
      </c>
      <c r="C532" s="28" t="s">
        <v>2243</v>
      </c>
      <c r="D532" s="28" t="s">
        <v>2244</v>
      </c>
      <c r="E532" s="28" t="s">
        <v>2244</v>
      </c>
      <c r="F532" s="28">
        <v>888888</v>
      </c>
      <c r="G532" s="28">
        <v>888888</v>
      </c>
      <c r="H532" s="38" t="s">
        <v>2245</v>
      </c>
      <c r="I532" s="28" t="s">
        <v>2246</v>
      </c>
      <c r="J532" s="28"/>
      <c r="K532" s="28" t="s">
        <v>2247</v>
      </c>
      <c r="L532" s="28" t="s">
        <v>2248</v>
      </c>
      <c r="M532" s="28" t="s">
        <v>2217</v>
      </c>
      <c r="N532" s="35">
        <v>37680</v>
      </c>
    </row>
    <row r="533" s="9" customFormat="1" ht="17.25" spans="1:14">
      <c r="A533" s="39" t="s">
        <v>2249</v>
      </c>
      <c r="B533" s="40" t="s">
        <v>2249</v>
      </c>
      <c r="C533" s="40" t="s">
        <v>2249</v>
      </c>
      <c r="D533" s="41" t="s">
        <v>2250</v>
      </c>
      <c r="E533" s="41" t="s">
        <v>2250</v>
      </c>
      <c r="F533" s="41">
        <v>888888</v>
      </c>
      <c r="G533" s="41">
        <v>888888</v>
      </c>
      <c r="H533" s="40" t="s">
        <v>2251</v>
      </c>
      <c r="I533" s="40"/>
      <c r="J533" s="40"/>
      <c r="K533" s="40" t="s">
        <v>2252</v>
      </c>
      <c r="L533" s="40" t="s">
        <v>2253</v>
      </c>
      <c r="M533" s="41" t="s">
        <v>2217</v>
      </c>
      <c r="N533" s="42">
        <v>66627</v>
      </c>
    </row>
    <row r="534" s="9" customFormat="1" ht="16.5" spans="1:14">
      <c r="A534" s="33" t="s">
        <v>2254</v>
      </c>
      <c r="B534" s="28" t="s">
        <v>2254</v>
      </c>
      <c r="C534" s="28" t="s">
        <v>2254</v>
      </c>
      <c r="D534" s="28" t="s">
        <v>2255</v>
      </c>
      <c r="E534" s="28" t="s">
        <v>2255</v>
      </c>
      <c r="F534" s="28">
        <v>888888</v>
      </c>
      <c r="G534" s="28">
        <v>888888</v>
      </c>
      <c r="H534" s="38" t="s">
        <v>2256</v>
      </c>
      <c r="I534" s="28"/>
      <c r="J534" s="28"/>
      <c r="K534" s="28" t="s">
        <v>1465</v>
      </c>
      <c r="L534" s="28" t="s">
        <v>993</v>
      </c>
      <c r="M534" s="28" t="s">
        <v>1077</v>
      </c>
      <c r="N534" s="35">
        <v>92376</v>
      </c>
    </row>
    <row r="535" s="9" customFormat="1" ht="17.25" spans="1:14">
      <c r="A535" s="39" t="s">
        <v>2257</v>
      </c>
      <c r="B535" s="40" t="s">
        <v>2257</v>
      </c>
      <c r="C535" s="40" t="s">
        <v>2257</v>
      </c>
      <c r="D535" s="41" t="s">
        <v>2255</v>
      </c>
      <c r="E535" s="41" t="s">
        <v>2255</v>
      </c>
      <c r="F535" s="41">
        <v>888888</v>
      </c>
      <c r="G535" s="41">
        <v>888888</v>
      </c>
      <c r="H535" s="40" t="s">
        <v>2202</v>
      </c>
      <c r="I535" s="40"/>
      <c r="J535" s="40"/>
      <c r="K535" s="40" t="s">
        <v>2203</v>
      </c>
      <c r="L535" s="40" t="s">
        <v>1294</v>
      </c>
      <c r="M535" s="41" t="s">
        <v>1077</v>
      </c>
      <c r="N535" s="42">
        <v>30518</v>
      </c>
    </row>
    <row r="536" s="9" customFormat="1" ht="16.5" spans="1:14">
      <c r="A536" s="33" t="s">
        <v>2258</v>
      </c>
      <c r="B536" s="28" t="s">
        <v>2258</v>
      </c>
      <c r="C536" s="28" t="s">
        <v>2258</v>
      </c>
      <c r="D536" s="28" t="s">
        <v>2255</v>
      </c>
      <c r="E536" s="28" t="s">
        <v>2255</v>
      </c>
      <c r="F536" s="28">
        <v>888888</v>
      </c>
      <c r="G536" s="28">
        <v>888888</v>
      </c>
      <c r="H536" s="38" t="s">
        <v>2259</v>
      </c>
      <c r="I536" s="28"/>
      <c r="J536" s="28"/>
      <c r="K536" s="28" t="s">
        <v>2260</v>
      </c>
      <c r="L536" s="28" t="s">
        <v>1112</v>
      </c>
      <c r="M536" s="28" t="s">
        <v>1077</v>
      </c>
      <c r="N536" s="35">
        <v>77477</v>
      </c>
    </row>
    <row r="537" s="9" customFormat="1" ht="17.25" spans="1:14">
      <c r="A537" s="39" t="s">
        <v>2261</v>
      </c>
      <c r="B537" s="40" t="s">
        <v>2261</v>
      </c>
      <c r="C537" s="40" t="s">
        <v>2261</v>
      </c>
      <c r="D537" s="41" t="s">
        <v>2255</v>
      </c>
      <c r="E537" s="41" t="s">
        <v>2255</v>
      </c>
      <c r="F537" s="41">
        <v>888888</v>
      </c>
      <c r="G537" s="41">
        <v>888888</v>
      </c>
      <c r="H537" s="40" t="s">
        <v>2262</v>
      </c>
      <c r="I537" s="40"/>
      <c r="J537" s="40"/>
      <c r="K537" s="40" t="s">
        <v>1465</v>
      </c>
      <c r="L537" s="40" t="s">
        <v>993</v>
      </c>
      <c r="M537" s="41" t="s">
        <v>1077</v>
      </c>
      <c r="N537" s="42" t="s">
        <v>2263</v>
      </c>
    </row>
    <row r="538" s="9" customFormat="1" ht="16.5" spans="1:14">
      <c r="A538" s="33" t="s">
        <v>2264</v>
      </c>
      <c r="B538" s="28" t="s">
        <v>2264</v>
      </c>
      <c r="C538" s="28" t="s">
        <v>2264</v>
      </c>
      <c r="D538" s="28" t="s">
        <v>2255</v>
      </c>
      <c r="E538" s="28" t="s">
        <v>2255</v>
      </c>
      <c r="F538" s="28">
        <v>888888</v>
      </c>
      <c r="G538" s="28">
        <v>888888</v>
      </c>
      <c r="H538" s="38" t="s">
        <v>2265</v>
      </c>
      <c r="I538" s="28"/>
      <c r="J538" s="28"/>
      <c r="K538" s="28" t="s">
        <v>2266</v>
      </c>
      <c r="L538" s="28" t="s">
        <v>1154</v>
      </c>
      <c r="M538" s="28" t="s">
        <v>1077</v>
      </c>
      <c r="N538" s="35" t="s">
        <v>2267</v>
      </c>
    </row>
    <row r="539" s="9" customFormat="1" ht="17.25" spans="1:14">
      <c r="A539" s="39" t="s">
        <v>2268</v>
      </c>
      <c r="B539" s="40" t="s">
        <v>2268</v>
      </c>
      <c r="C539" s="40" t="s">
        <v>2268</v>
      </c>
      <c r="D539" s="41" t="s">
        <v>2255</v>
      </c>
      <c r="E539" s="41" t="s">
        <v>2255</v>
      </c>
      <c r="F539" s="41">
        <v>888888</v>
      </c>
      <c r="G539" s="41">
        <v>888888</v>
      </c>
      <c r="H539" s="40" t="s">
        <v>2269</v>
      </c>
      <c r="I539" s="40"/>
      <c r="J539" s="40"/>
      <c r="K539" s="40" t="s">
        <v>2203</v>
      </c>
      <c r="L539" s="40" t="s">
        <v>1294</v>
      </c>
      <c r="M539" s="41" t="s">
        <v>1077</v>
      </c>
      <c r="N539" s="42" t="s">
        <v>2270</v>
      </c>
    </row>
    <row r="540" s="9" customFormat="1" ht="16.5" spans="1:14">
      <c r="A540" s="33" t="s">
        <v>2271</v>
      </c>
      <c r="B540" s="28" t="s">
        <v>2271</v>
      </c>
      <c r="C540" s="28" t="s">
        <v>2271</v>
      </c>
      <c r="D540" s="28" t="s">
        <v>2255</v>
      </c>
      <c r="E540" s="28" t="s">
        <v>2255</v>
      </c>
      <c r="F540" s="28">
        <v>888888</v>
      </c>
      <c r="G540" s="28">
        <v>888888</v>
      </c>
      <c r="H540" s="38" t="s">
        <v>2272</v>
      </c>
      <c r="I540" s="28"/>
      <c r="J540" s="28"/>
      <c r="K540" s="28" t="s">
        <v>2273</v>
      </c>
      <c r="L540" s="28" t="s">
        <v>1193</v>
      </c>
      <c r="M540" s="28" t="s">
        <v>1077</v>
      </c>
      <c r="N540" s="35" t="s">
        <v>2274</v>
      </c>
    </row>
    <row r="541" s="9" customFormat="1" ht="17.25" spans="1:14">
      <c r="A541" s="39" t="s">
        <v>2275</v>
      </c>
      <c r="B541" s="40" t="s">
        <v>2275</v>
      </c>
      <c r="C541" s="40" t="s">
        <v>2275</v>
      </c>
      <c r="D541" s="41" t="s">
        <v>2255</v>
      </c>
      <c r="E541" s="41" t="s">
        <v>2255</v>
      </c>
      <c r="F541" s="41">
        <v>888888</v>
      </c>
      <c r="G541" s="41">
        <v>888888</v>
      </c>
      <c r="H541" s="40" t="s">
        <v>2276</v>
      </c>
      <c r="I541" s="40"/>
      <c r="J541" s="40"/>
      <c r="K541" s="40" t="s">
        <v>1425</v>
      </c>
      <c r="L541" s="40" t="s">
        <v>1112</v>
      </c>
      <c r="M541" s="41" t="s">
        <v>1077</v>
      </c>
      <c r="N541" s="42" t="s">
        <v>2277</v>
      </c>
    </row>
    <row r="542" s="9" customFormat="1" ht="16.5" spans="1:14">
      <c r="A542" s="33" t="s">
        <v>2278</v>
      </c>
      <c r="B542" s="28" t="s">
        <v>2278</v>
      </c>
      <c r="C542" s="28" t="s">
        <v>2278</v>
      </c>
      <c r="D542" s="28" t="s">
        <v>2255</v>
      </c>
      <c r="E542" s="28" t="s">
        <v>2255</v>
      </c>
      <c r="F542" s="28">
        <v>888888</v>
      </c>
      <c r="G542" s="28">
        <v>888888</v>
      </c>
      <c r="H542" s="38" t="s">
        <v>2279</v>
      </c>
      <c r="I542" s="28"/>
      <c r="J542" s="28"/>
      <c r="K542" s="28" t="s">
        <v>2280</v>
      </c>
      <c r="L542" s="28" t="s">
        <v>1112</v>
      </c>
      <c r="M542" s="28" t="s">
        <v>1077</v>
      </c>
      <c r="N542" s="35" t="s">
        <v>2281</v>
      </c>
    </row>
    <row r="543" s="9" customFormat="1" ht="17.25" spans="1:14">
      <c r="A543" s="39" t="s">
        <v>2282</v>
      </c>
      <c r="B543" s="40" t="s">
        <v>2282</v>
      </c>
      <c r="C543" s="40" t="s">
        <v>2282</v>
      </c>
      <c r="D543" s="41" t="s">
        <v>2255</v>
      </c>
      <c r="E543" s="41" t="s">
        <v>2255</v>
      </c>
      <c r="F543" s="41">
        <v>888888</v>
      </c>
      <c r="G543" s="41">
        <v>888888</v>
      </c>
      <c r="H543" s="40" t="s">
        <v>2283</v>
      </c>
      <c r="I543" s="40"/>
      <c r="J543" s="40"/>
      <c r="K543" s="40" t="s">
        <v>1776</v>
      </c>
      <c r="L543" s="40" t="s">
        <v>993</v>
      </c>
      <c r="M543" s="41" t="s">
        <v>1077</v>
      </c>
      <c r="N543" s="42" t="s">
        <v>2284</v>
      </c>
    </row>
    <row r="544" s="9" customFormat="1" ht="16.5" spans="1:14">
      <c r="A544" s="33" t="s">
        <v>2285</v>
      </c>
      <c r="B544" s="28" t="s">
        <v>2285</v>
      </c>
      <c r="C544" s="28" t="s">
        <v>2285</v>
      </c>
      <c r="D544" s="28" t="s">
        <v>2255</v>
      </c>
      <c r="E544" s="28" t="s">
        <v>2255</v>
      </c>
      <c r="F544" s="28">
        <v>888888</v>
      </c>
      <c r="G544" s="28">
        <v>888888</v>
      </c>
      <c r="H544" s="38" t="s">
        <v>2286</v>
      </c>
      <c r="I544" s="28"/>
      <c r="J544" s="28"/>
      <c r="K544" s="28" t="s">
        <v>1776</v>
      </c>
      <c r="L544" s="28" t="s">
        <v>993</v>
      </c>
      <c r="M544" s="28" t="s">
        <v>1077</v>
      </c>
      <c r="N544" s="35" t="s">
        <v>2284</v>
      </c>
    </row>
    <row r="545" s="9" customFormat="1" ht="17.25" spans="1:14">
      <c r="A545" s="39" t="s">
        <v>2287</v>
      </c>
      <c r="B545" s="40" t="s">
        <v>2287</v>
      </c>
      <c r="C545" s="40" t="s">
        <v>2287</v>
      </c>
      <c r="D545" s="41" t="s">
        <v>2255</v>
      </c>
      <c r="E545" s="41" t="s">
        <v>2255</v>
      </c>
      <c r="F545" s="41">
        <v>888888</v>
      </c>
      <c r="G545" s="41">
        <v>888888</v>
      </c>
      <c r="H545" s="40" t="s">
        <v>2288</v>
      </c>
      <c r="I545" s="40"/>
      <c r="J545" s="40"/>
      <c r="K545" s="40" t="s">
        <v>2135</v>
      </c>
      <c r="L545" s="40" t="s">
        <v>1154</v>
      </c>
      <c r="M545" s="41" t="s">
        <v>1077</v>
      </c>
      <c r="N545" s="42" t="s">
        <v>2289</v>
      </c>
    </row>
    <row r="546" s="9" customFormat="1" ht="16.5" spans="1:14">
      <c r="A546" s="33" t="s">
        <v>2290</v>
      </c>
      <c r="B546" s="28" t="s">
        <v>2290</v>
      </c>
      <c r="C546" s="28" t="s">
        <v>2290</v>
      </c>
      <c r="D546" s="28" t="s">
        <v>2255</v>
      </c>
      <c r="E546" s="28" t="s">
        <v>2255</v>
      </c>
      <c r="F546" s="28">
        <v>888888</v>
      </c>
      <c r="G546" s="28">
        <v>888888</v>
      </c>
      <c r="H546" s="38" t="s">
        <v>2291</v>
      </c>
      <c r="I546" s="28"/>
      <c r="J546" s="28"/>
      <c r="K546" s="28" t="s">
        <v>2292</v>
      </c>
      <c r="L546" s="28" t="s">
        <v>1193</v>
      </c>
      <c r="M546" s="28" t="s">
        <v>1077</v>
      </c>
      <c r="N546" s="35" t="s">
        <v>2293</v>
      </c>
    </row>
    <row r="547" s="9" customFormat="1" ht="17.25" spans="1:14">
      <c r="A547" s="39" t="s">
        <v>2294</v>
      </c>
      <c r="B547" s="40" t="s">
        <v>2294</v>
      </c>
      <c r="C547" s="40" t="s">
        <v>2294</v>
      </c>
      <c r="D547" s="41" t="s">
        <v>2255</v>
      </c>
      <c r="E547" s="41" t="s">
        <v>2255</v>
      </c>
      <c r="F547" s="41">
        <v>888888</v>
      </c>
      <c r="G547" s="41">
        <v>888888</v>
      </c>
      <c r="H547" s="40" t="s">
        <v>2295</v>
      </c>
      <c r="I547" s="40"/>
      <c r="J547" s="40"/>
      <c r="K547" s="40" t="s">
        <v>2296</v>
      </c>
      <c r="L547" s="40" t="s">
        <v>1193</v>
      </c>
      <c r="M547" s="41" t="s">
        <v>1077</v>
      </c>
      <c r="N547" s="42" t="s">
        <v>2197</v>
      </c>
    </row>
    <row r="548" s="9" customFormat="1" ht="16.5" spans="1:14">
      <c r="A548" s="33" t="s">
        <v>2297</v>
      </c>
      <c r="B548" s="28" t="s">
        <v>2297</v>
      </c>
      <c r="C548" s="28" t="s">
        <v>2297</v>
      </c>
      <c r="D548" s="28" t="s">
        <v>2255</v>
      </c>
      <c r="E548" s="28" t="s">
        <v>2255</v>
      </c>
      <c r="F548" s="28">
        <v>888888</v>
      </c>
      <c r="G548" s="28">
        <v>888888</v>
      </c>
      <c r="H548" s="38" t="s">
        <v>2298</v>
      </c>
      <c r="I548" s="28"/>
      <c r="J548" s="28"/>
      <c r="K548" s="28" t="s">
        <v>2299</v>
      </c>
      <c r="L548" s="28" t="s">
        <v>1513</v>
      </c>
      <c r="M548" s="28" t="s">
        <v>1077</v>
      </c>
      <c r="N548" s="35" t="s">
        <v>2300</v>
      </c>
    </row>
    <row r="549" s="9" customFormat="1" ht="17.25" spans="1:14">
      <c r="A549" s="39" t="s">
        <v>2301</v>
      </c>
      <c r="B549" s="40" t="s">
        <v>2301</v>
      </c>
      <c r="C549" s="40" t="s">
        <v>2301</v>
      </c>
      <c r="D549" s="41" t="s">
        <v>2255</v>
      </c>
      <c r="E549" s="41" t="s">
        <v>2255</v>
      </c>
      <c r="F549" s="41">
        <v>888888</v>
      </c>
      <c r="G549" s="41">
        <v>888888</v>
      </c>
      <c r="H549" s="40" t="s">
        <v>2302</v>
      </c>
      <c r="I549" s="40"/>
      <c r="J549" s="40"/>
      <c r="K549" s="40" t="s">
        <v>2303</v>
      </c>
      <c r="L549" s="40" t="s">
        <v>1154</v>
      </c>
      <c r="M549" s="41" t="s">
        <v>1077</v>
      </c>
      <c r="N549" s="42" t="s">
        <v>2304</v>
      </c>
    </row>
    <row r="550" s="9" customFormat="1" ht="15" customHeight="1" spans="1:14">
      <c r="A550" s="33" t="s">
        <v>2305</v>
      </c>
      <c r="B550" s="28" t="s">
        <v>2305</v>
      </c>
      <c r="C550" s="28" t="s">
        <v>2305</v>
      </c>
      <c r="D550" s="28" t="s">
        <v>2306</v>
      </c>
      <c r="E550" s="28" t="s">
        <v>2306</v>
      </c>
      <c r="F550" s="28">
        <v>888888</v>
      </c>
      <c r="G550" s="28">
        <v>888888</v>
      </c>
      <c r="H550" s="38" t="s">
        <v>2307</v>
      </c>
      <c r="I550" s="28"/>
      <c r="J550" s="28"/>
      <c r="K550" s="28" t="s">
        <v>1158</v>
      </c>
      <c r="L550" s="28" t="s">
        <v>1433</v>
      </c>
      <c r="M550" s="28" t="s">
        <v>1077</v>
      </c>
      <c r="N550" s="35">
        <v>80019</v>
      </c>
    </row>
    <row r="551" s="9" customFormat="1" ht="17.25" spans="1:14">
      <c r="A551" s="39" t="s">
        <v>2308</v>
      </c>
      <c r="B551" s="40" t="s">
        <v>2308</v>
      </c>
      <c r="C551" s="40" t="s">
        <v>2308</v>
      </c>
      <c r="D551" s="41" t="s">
        <v>2309</v>
      </c>
      <c r="E551" s="41" t="s">
        <v>2309</v>
      </c>
      <c r="F551" s="41">
        <v>888888</v>
      </c>
      <c r="G551" s="41">
        <v>888888</v>
      </c>
      <c r="H551" s="40" t="s">
        <v>2310</v>
      </c>
      <c r="I551" s="40"/>
      <c r="J551" s="40"/>
      <c r="K551" s="40" t="s">
        <v>2311</v>
      </c>
      <c r="L551" s="40" t="s">
        <v>1145</v>
      </c>
      <c r="M551" s="41" t="s">
        <v>1077</v>
      </c>
      <c r="N551" s="42">
        <v>46123</v>
      </c>
    </row>
    <row r="552" s="9" customFormat="1" ht="15" customHeight="1" spans="1:14">
      <c r="A552" s="33" t="s">
        <v>2312</v>
      </c>
      <c r="B552" s="28" t="s">
        <v>2312</v>
      </c>
      <c r="C552" s="28" t="s">
        <v>2312</v>
      </c>
      <c r="D552" s="28" t="s">
        <v>702</v>
      </c>
      <c r="E552" s="28" t="s">
        <v>702</v>
      </c>
      <c r="F552" s="28">
        <v>8888888888</v>
      </c>
      <c r="G552" s="28">
        <v>8888888888</v>
      </c>
      <c r="H552" s="38" t="s">
        <v>2313</v>
      </c>
      <c r="I552" s="28"/>
      <c r="J552" s="28"/>
      <c r="K552" s="28" t="s">
        <v>1688</v>
      </c>
      <c r="L552" s="28" t="s">
        <v>1597</v>
      </c>
      <c r="M552" s="28" t="s">
        <v>1077</v>
      </c>
      <c r="N552" s="35">
        <v>64163</v>
      </c>
    </row>
    <row r="553" s="9" customFormat="1" ht="17.25" spans="1:14">
      <c r="A553" s="39" t="s">
        <v>2314</v>
      </c>
      <c r="B553" s="40" t="s">
        <v>2314</v>
      </c>
      <c r="C553" s="40" t="s">
        <v>2314</v>
      </c>
      <c r="D553" s="41" t="s">
        <v>702</v>
      </c>
      <c r="E553" s="41" t="s">
        <v>702</v>
      </c>
      <c r="F553" s="41">
        <v>8888888888</v>
      </c>
      <c r="G553" s="41">
        <v>8888888888</v>
      </c>
      <c r="H553" s="40" t="s">
        <v>2315</v>
      </c>
      <c r="I553" s="40"/>
      <c r="J553" s="40"/>
      <c r="K553" s="40" t="s">
        <v>2316</v>
      </c>
      <c r="L553" s="40" t="s">
        <v>1102</v>
      </c>
      <c r="M553" s="41" t="s">
        <v>1077</v>
      </c>
      <c r="N553" s="42" t="s">
        <v>2317</v>
      </c>
    </row>
    <row r="554" s="9" customFormat="1" ht="15" customHeight="1" spans="1:14">
      <c r="A554" s="33" t="s">
        <v>2318</v>
      </c>
      <c r="B554" s="28" t="s">
        <v>2318</v>
      </c>
      <c r="C554" s="28" t="s">
        <v>2318</v>
      </c>
      <c r="D554" s="28" t="s">
        <v>2319</v>
      </c>
      <c r="E554" s="28" t="s">
        <v>2319</v>
      </c>
      <c r="F554" s="28">
        <v>8888888888</v>
      </c>
      <c r="G554" s="28">
        <v>8888888888</v>
      </c>
      <c r="H554" s="38" t="s">
        <v>2320</v>
      </c>
      <c r="I554" s="28" t="s">
        <v>2321</v>
      </c>
      <c r="J554" s="28"/>
      <c r="K554" s="28" t="s">
        <v>2322</v>
      </c>
      <c r="L554" s="28" t="s">
        <v>2323</v>
      </c>
      <c r="M554" s="28" t="s">
        <v>2217</v>
      </c>
      <c r="N554" s="35">
        <v>45672</v>
      </c>
    </row>
    <row r="555" s="9" customFormat="1" ht="17.25" spans="1:14">
      <c r="A555" s="39" t="s">
        <v>2324</v>
      </c>
      <c r="B555" s="40" t="s">
        <v>2324</v>
      </c>
      <c r="C555" s="40" t="s">
        <v>2324</v>
      </c>
      <c r="D555" s="41" t="s">
        <v>2325</v>
      </c>
      <c r="E555" s="41" t="s">
        <v>2325</v>
      </c>
      <c r="F555" s="41">
        <v>6076220614</v>
      </c>
      <c r="G555" s="41">
        <v>6076220614</v>
      </c>
      <c r="H555" s="40" t="s">
        <v>2326</v>
      </c>
      <c r="I555" s="40"/>
      <c r="J555" s="40"/>
      <c r="K555" s="40" t="s">
        <v>1601</v>
      </c>
      <c r="L555" s="40" t="s">
        <v>993</v>
      </c>
      <c r="M555" s="41" t="s">
        <v>1077</v>
      </c>
      <c r="N555" s="42" t="s">
        <v>2327</v>
      </c>
    </row>
    <row r="556" s="9" customFormat="1" ht="15" customHeight="1" spans="1:14">
      <c r="A556" s="33" t="s">
        <v>2328</v>
      </c>
      <c r="B556" s="28" t="s">
        <v>2328</v>
      </c>
      <c r="C556" s="28" t="s">
        <v>2328</v>
      </c>
      <c r="D556" s="28" t="s">
        <v>2329</v>
      </c>
      <c r="E556" s="28" t="s">
        <v>2329</v>
      </c>
      <c r="F556" s="28">
        <v>6076220614</v>
      </c>
      <c r="G556" s="28">
        <v>6076220614</v>
      </c>
      <c r="H556" s="38" t="s">
        <v>2330</v>
      </c>
      <c r="I556" s="28"/>
      <c r="J556" s="28"/>
      <c r="K556" s="28" t="s">
        <v>1205</v>
      </c>
      <c r="L556" s="28" t="s">
        <v>1344</v>
      </c>
      <c r="M556" s="28" t="s">
        <v>1077</v>
      </c>
      <c r="N556" s="35" t="s">
        <v>2331</v>
      </c>
    </row>
    <row r="557" s="9" customFormat="1" ht="15" customHeight="1" spans="1:14">
      <c r="A557" s="48" t="s">
        <v>2332</v>
      </c>
      <c r="B557" s="49" t="s">
        <v>2332</v>
      </c>
      <c r="C557" s="49" t="s">
        <v>2332</v>
      </c>
      <c r="D557" s="49" t="s">
        <v>2333</v>
      </c>
      <c r="E557" s="49" t="s">
        <v>2333</v>
      </c>
      <c r="F557" s="49">
        <v>8888888888</v>
      </c>
      <c r="G557" s="49">
        <v>8888888888</v>
      </c>
      <c r="H557" s="50" t="s">
        <v>1836</v>
      </c>
      <c r="I557" s="49"/>
      <c r="J557" s="49"/>
      <c r="K557" s="49" t="s">
        <v>1837</v>
      </c>
      <c r="L557" s="49" t="s">
        <v>1082</v>
      </c>
      <c r="M557" s="28" t="s">
        <v>1077</v>
      </c>
      <c r="N557" s="51" t="s">
        <v>2334</v>
      </c>
    </row>
    <row r="558" s="9" customFormat="1" ht="15" customHeight="1" spans="1:14">
      <c r="A558" s="48" t="s">
        <v>2335</v>
      </c>
      <c r="B558" s="49" t="s">
        <v>2335</v>
      </c>
      <c r="C558" s="49" t="s">
        <v>2335</v>
      </c>
      <c r="D558" s="49" t="s">
        <v>702</v>
      </c>
      <c r="E558" s="49" t="s">
        <v>702</v>
      </c>
      <c r="F558" s="49">
        <v>8888888888</v>
      </c>
      <c r="G558" s="49">
        <v>8888888888</v>
      </c>
      <c r="H558" s="50" t="s">
        <v>1862</v>
      </c>
      <c r="I558" s="49"/>
      <c r="J558" s="49"/>
      <c r="K558" s="49" t="s">
        <v>1863</v>
      </c>
      <c r="L558" s="49" t="s">
        <v>1376</v>
      </c>
      <c r="M558" s="28" t="s">
        <v>1077</v>
      </c>
      <c r="N558" s="51" t="s">
        <v>2336</v>
      </c>
    </row>
    <row r="559" s="9" customFormat="1" ht="15" customHeight="1" spans="1:14">
      <c r="A559" s="48" t="s">
        <v>2337</v>
      </c>
      <c r="B559" s="49" t="s">
        <v>2337</v>
      </c>
      <c r="C559" s="49" t="s">
        <v>2337</v>
      </c>
      <c r="D559" s="49" t="s">
        <v>702</v>
      </c>
      <c r="E559" s="49" t="s">
        <v>702</v>
      </c>
      <c r="F559" s="49">
        <v>8888888888</v>
      </c>
      <c r="G559" s="49">
        <v>8888888888</v>
      </c>
      <c r="H559" s="50" t="s">
        <v>1338</v>
      </c>
      <c r="I559" s="49"/>
      <c r="J559" s="49"/>
      <c r="K559" s="49" t="s">
        <v>1339</v>
      </c>
      <c r="L559" s="49" t="s">
        <v>1335</v>
      </c>
      <c r="M559" s="28" t="s">
        <v>1077</v>
      </c>
      <c r="N559" s="51" t="s">
        <v>1340</v>
      </c>
    </row>
    <row r="560" s="9" customFormat="1" ht="15" customHeight="1" spans="1:14">
      <c r="A560" s="48" t="s">
        <v>2338</v>
      </c>
      <c r="B560" s="49" t="s">
        <v>2338</v>
      </c>
      <c r="C560" s="49" t="s">
        <v>2338</v>
      </c>
      <c r="D560" s="49" t="s">
        <v>702</v>
      </c>
      <c r="E560" s="49" t="s">
        <v>702</v>
      </c>
      <c r="F560" s="49">
        <v>8888888888</v>
      </c>
      <c r="G560" s="49">
        <v>8888888888</v>
      </c>
      <c r="H560" s="50" t="s">
        <v>2339</v>
      </c>
      <c r="I560" s="49"/>
      <c r="J560" s="49"/>
      <c r="K560" s="49" t="s">
        <v>1827</v>
      </c>
      <c r="L560" s="49" t="s">
        <v>1513</v>
      </c>
      <c r="M560" s="28" t="s">
        <v>1077</v>
      </c>
      <c r="N560" s="51" t="s">
        <v>2340</v>
      </c>
    </row>
    <row r="561" s="9" customFormat="1" ht="15" customHeight="1" spans="1:15">
      <c r="A561" s="48" t="s">
        <v>2341</v>
      </c>
      <c r="B561" s="49" t="s">
        <v>2341</v>
      </c>
      <c r="C561" s="49" t="s">
        <v>2341</v>
      </c>
      <c r="D561" s="49" t="s">
        <v>702</v>
      </c>
      <c r="E561" s="49" t="s">
        <v>702</v>
      </c>
      <c r="F561" s="49">
        <v>8888888888</v>
      </c>
      <c r="G561" s="49">
        <v>8888888888</v>
      </c>
      <c r="H561" s="50" t="s">
        <v>2342</v>
      </c>
      <c r="I561" s="49"/>
      <c r="J561" s="49"/>
      <c r="K561" s="49" t="s">
        <v>1730</v>
      </c>
      <c r="L561" s="49" t="s">
        <v>1112</v>
      </c>
      <c r="M561" s="28" t="s">
        <v>1077</v>
      </c>
      <c r="N561" s="51" t="s">
        <v>1731</v>
      </c>
    </row>
    <row r="562" s="9" customFormat="1" ht="15" customHeight="1" spans="1:15">
      <c r="A562" s="48" t="s">
        <v>2343</v>
      </c>
      <c r="B562" s="49" t="s">
        <v>2343</v>
      </c>
      <c r="C562" s="49" t="s">
        <v>2343</v>
      </c>
      <c r="D562" s="49" t="s">
        <v>702</v>
      </c>
      <c r="E562" s="49" t="s">
        <v>702</v>
      </c>
      <c r="F562" s="49">
        <v>8888888888</v>
      </c>
      <c r="G562" s="49">
        <v>8888888888</v>
      </c>
      <c r="H562" s="50" t="s">
        <v>2344</v>
      </c>
      <c r="I562" s="49"/>
      <c r="J562" s="49"/>
      <c r="K562" s="49" t="s">
        <v>1613</v>
      </c>
      <c r="L562" s="49" t="s">
        <v>1102</v>
      </c>
      <c r="M562" s="28" t="s">
        <v>1077</v>
      </c>
      <c r="N562" s="51" t="s">
        <v>2345</v>
      </c>
    </row>
    <row r="563" s="9" customFormat="1" ht="15" customHeight="1" spans="1:15">
      <c r="A563" s="48" t="s">
        <v>2346</v>
      </c>
      <c r="B563" s="49" t="s">
        <v>2346</v>
      </c>
      <c r="C563" s="49" t="s">
        <v>2346</v>
      </c>
      <c r="D563" s="49" t="s">
        <v>702</v>
      </c>
      <c r="E563" s="49" t="s">
        <v>702</v>
      </c>
      <c r="F563" s="49">
        <v>8888888888</v>
      </c>
      <c r="G563" s="49">
        <v>8888888888</v>
      </c>
      <c r="H563" s="50" t="s">
        <v>1297</v>
      </c>
      <c r="I563" s="49"/>
      <c r="J563" s="49"/>
      <c r="K563" s="49" t="s">
        <v>2347</v>
      </c>
      <c r="L563" s="49" t="s">
        <v>1294</v>
      </c>
      <c r="M563" s="28" t="s">
        <v>1077</v>
      </c>
      <c r="N563" s="51" t="s">
        <v>1299</v>
      </c>
    </row>
    <row r="564" s="9" customFormat="1" ht="15" customHeight="1" spans="1:15">
      <c r="A564" s="48" t="s">
        <v>2348</v>
      </c>
      <c r="B564" s="49" t="s">
        <v>2348</v>
      </c>
      <c r="C564" s="49" t="s">
        <v>2348</v>
      </c>
      <c r="D564" s="49" t="s">
        <v>702</v>
      </c>
      <c r="E564" s="49" t="s">
        <v>702</v>
      </c>
      <c r="F564" s="49">
        <v>8888888888</v>
      </c>
      <c r="G564" s="49">
        <v>8888888888</v>
      </c>
      <c r="H564" s="50" t="s">
        <v>2349</v>
      </c>
      <c r="I564" s="49"/>
      <c r="J564" s="49"/>
      <c r="K564" s="49" t="s">
        <v>1738</v>
      </c>
      <c r="L564" s="49" t="s">
        <v>1597</v>
      </c>
      <c r="M564" s="28" t="s">
        <v>1077</v>
      </c>
      <c r="N564" s="51" t="s">
        <v>2350</v>
      </c>
    </row>
    <row r="565" s="9" customFormat="1" ht="17.25" spans="1:15">
      <c r="A565" s="39" t="s">
        <v>2351</v>
      </c>
      <c r="B565" s="40" t="s">
        <v>2351</v>
      </c>
      <c r="C565" s="40" t="s">
        <v>2312</v>
      </c>
      <c r="D565" s="41" t="s">
        <v>702</v>
      </c>
      <c r="E565" s="41" t="s">
        <v>702</v>
      </c>
      <c r="F565" s="41"/>
      <c r="G565" s="41"/>
      <c r="H565" s="40" t="s">
        <v>2352</v>
      </c>
      <c r="I565" s="40"/>
      <c r="J565" s="40"/>
      <c r="K565" s="40" t="s">
        <v>1002</v>
      </c>
      <c r="L565" s="40" t="s">
        <v>998</v>
      </c>
      <c r="M565" s="41" t="s">
        <v>993</v>
      </c>
      <c r="N565" s="42" t="s">
        <v>2353</v>
      </c>
    </row>
    <row r="566" s="10" customFormat="1" spans="1:15">
      <c r="G566" s="52"/>
      <c r="H566" s="52"/>
      <c r="I566" s="52"/>
      <c r="J566" s="52"/>
      <c r="K566" s="52"/>
      <c r="L566" s="10"/>
      <c r="M566" s="10"/>
      <c r="N566" s="10"/>
      <c r="O566" s="52"/>
    </row>
    <row r="567" s="10" customFormat="1" spans="1:15">
      <c r="G567" s="52"/>
      <c r="H567" s="52"/>
      <c r="I567" s="52"/>
      <c r="J567" s="52"/>
      <c r="K567" s="52"/>
      <c r="L567" s="10"/>
      <c r="M567" s="10"/>
      <c r="N567" s="10"/>
      <c r="O567" s="52"/>
    </row>
    <row r="568" customHeight="1" spans="1:15">
      <c r="B568" s="53"/>
      <c r="C568" s="53"/>
    </row>
    <row r="569" customHeight="1" spans="1:15">
      <c r="B569" s="53"/>
      <c r="C569" s="53"/>
    </row>
    <row r="570" customHeight="1" spans="1:15">
      <c r="B570" s="53"/>
      <c r="C570" s="53"/>
    </row>
    <row r="571" customHeight="1" spans="1:15">
      <c r="B571" s="53"/>
      <c r="C571" s="53"/>
    </row>
    <row r="572" customHeight="1" spans="1:15">
      <c r="A572" s="47"/>
      <c r="B572" s="53"/>
      <c r="C572" s="53"/>
    </row>
    <row r="573" customHeight="1" spans="1:15">
      <c r="A573" s="47"/>
      <c r="B573" s="53"/>
      <c r="C573" s="53"/>
    </row>
    <row r="574" customHeight="1" spans="1:15">
      <c r="A574" s="47"/>
      <c r="B574" s="53"/>
      <c r="C574" s="53"/>
    </row>
    <row r="575" customHeight="1" spans="1:15">
      <c r="A575" s="54"/>
    </row>
    <row r="576" customHeight="1" spans="1:15">
      <c r="A576" s="54"/>
    </row>
    <row r="577" customHeight="1" spans="1:1">
      <c r="A577" s="55"/>
    </row>
    <row r="578" customHeight="1" spans="1:1">
      <c r="A578" s="56"/>
    </row>
    <row r="579" customHeight="1" spans="1:1">
      <c r="A579" s="55"/>
    </row>
    <row r="580" customHeight="1" spans="1:1">
      <c r="A580" s="55"/>
    </row>
  </sheetData>
  <mergeCells count="4">
    <mergeCell ref="A2:N2"/>
    <mergeCell ref="A129:N129"/>
    <mergeCell ref="A183:N183"/>
    <mergeCell ref="A205:N205"/>
  </mergeCells>
  <conditionalFormatting sqref="A182">
    <cfRule type="duplicateValues" dxfId="0" priority="316"/>
    <cfRule type="duplicateValues" dxfId="1" priority="802"/>
  </conditionalFormatting>
  <conditionalFormatting sqref="B182">
    <cfRule type="duplicateValues" dxfId="0" priority="478"/>
    <cfRule type="duplicateValues" dxfId="1" priority="829"/>
  </conditionalFormatting>
  <conditionalFormatting sqref="C182">
    <cfRule type="duplicateValues" dxfId="0" priority="397"/>
  </conditionalFormatting>
  <conditionalFormatting sqref="A362">
    <cfRule type="duplicateValues" dxfId="0" priority="5196"/>
  </conditionalFormatting>
  <conditionalFormatting sqref="B362">
    <cfRule type="duplicateValues" dxfId="0" priority="5195"/>
  </conditionalFormatting>
  <conditionalFormatting sqref="C362">
    <cfRule type="duplicateValues" dxfId="0" priority="5194"/>
  </conditionalFormatting>
  <conditionalFormatting sqref="C388">
    <cfRule type="duplicateValues" dxfId="0" priority="6055"/>
  </conditionalFormatting>
  <conditionalFormatting sqref="A390">
    <cfRule type="duplicateValues" dxfId="0" priority="5415"/>
  </conditionalFormatting>
  <conditionalFormatting sqref="B390">
    <cfRule type="duplicateValues" dxfId="0" priority="5414"/>
  </conditionalFormatting>
  <conditionalFormatting sqref="C390">
    <cfRule type="duplicateValues" dxfId="0" priority="5409"/>
  </conditionalFormatting>
  <conditionalFormatting sqref="A391">
    <cfRule type="duplicateValues" dxfId="0" priority="5404"/>
  </conditionalFormatting>
  <conditionalFormatting sqref="B391">
    <cfRule type="duplicateValues" dxfId="0" priority="5395"/>
  </conditionalFormatting>
  <conditionalFormatting sqref="C391">
    <cfRule type="duplicateValues" dxfId="0" priority="5350"/>
  </conditionalFormatting>
  <conditionalFormatting sqref="A392">
    <cfRule type="duplicateValues" dxfId="0" priority="5341"/>
  </conditionalFormatting>
  <conditionalFormatting sqref="B392">
    <cfRule type="duplicateValues" dxfId="0" priority="5332"/>
  </conditionalFormatting>
  <conditionalFormatting sqref="C392">
    <cfRule type="duplicateValues" dxfId="0" priority="5287"/>
  </conditionalFormatting>
  <conditionalFormatting sqref="A393">
    <cfRule type="duplicateValues" dxfId="0" priority="5403"/>
  </conditionalFormatting>
  <conditionalFormatting sqref="B393">
    <cfRule type="duplicateValues" dxfId="0" priority="5394"/>
  </conditionalFormatting>
  <conditionalFormatting sqref="C393">
    <cfRule type="duplicateValues" dxfId="0" priority="5349"/>
  </conditionalFormatting>
  <conditionalFormatting sqref="A394">
    <cfRule type="duplicateValues" dxfId="0" priority="5340"/>
  </conditionalFormatting>
  <conditionalFormatting sqref="B394">
    <cfRule type="duplicateValues" dxfId="0" priority="5331"/>
  </conditionalFormatting>
  <conditionalFormatting sqref="C394">
    <cfRule type="duplicateValues" dxfId="0" priority="5286"/>
  </conditionalFormatting>
  <conditionalFormatting sqref="A395">
    <cfRule type="duplicateValues" dxfId="0" priority="5402"/>
  </conditionalFormatting>
  <conditionalFormatting sqref="B395">
    <cfRule type="duplicateValues" dxfId="0" priority="5393"/>
  </conditionalFormatting>
  <conditionalFormatting sqref="C395">
    <cfRule type="duplicateValues" dxfId="0" priority="5348"/>
  </conditionalFormatting>
  <conditionalFormatting sqref="A396">
    <cfRule type="duplicateValues" dxfId="0" priority="5339"/>
  </conditionalFormatting>
  <conditionalFormatting sqref="B396">
    <cfRule type="duplicateValues" dxfId="0" priority="5330"/>
  </conditionalFormatting>
  <conditionalFormatting sqref="C396">
    <cfRule type="duplicateValues" dxfId="0" priority="5285"/>
  </conditionalFormatting>
  <conditionalFormatting sqref="A397">
    <cfRule type="duplicateValues" dxfId="0" priority="5401"/>
  </conditionalFormatting>
  <conditionalFormatting sqref="B397">
    <cfRule type="duplicateValues" dxfId="0" priority="5392"/>
  </conditionalFormatting>
  <conditionalFormatting sqref="C397">
    <cfRule type="duplicateValues" dxfId="0" priority="5347"/>
  </conditionalFormatting>
  <conditionalFormatting sqref="A398">
    <cfRule type="duplicateValues" dxfId="0" priority="5338"/>
  </conditionalFormatting>
  <conditionalFormatting sqref="B398">
    <cfRule type="duplicateValues" dxfId="0" priority="5329"/>
  </conditionalFormatting>
  <conditionalFormatting sqref="C398">
    <cfRule type="duplicateValues" dxfId="0" priority="5284"/>
  </conditionalFormatting>
  <conditionalFormatting sqref="A399">
    <cfRule type="duplicateValues" dxfId="0" priority="5400"/>
  </conditionalFormatting>
  <conditionalFormatting sqref="B399">
    <cfRule type="duplicateValues" dxfId="0" priority="5391"/>
  </conditionalFormatting>
  <conditionalFormatting sqref="C399">
    <cfRule type="duplicateValues" dxfId="0" priority="5346"/>
  </conditionalFormatting>
  <conditionalFormatting sqref="A400">
    <cfRule type="duplicateValues" dxfId="0" priority="5337"/>
  </conditionalFormatting>
  <conditionalFormatting sqref="B400">
    <cfRule type="duplicateValues" dxfId="0" priority="5328"/>
  </conditionalFormatting>
  <conditionalFormatting sqref="C400">
    <cfRule type="duplicateValues" dxfId="0" priority="5283"/>
  </conditionalFormatting>
  <conditionalFormatting sqref="A401">
    <cfRule type="duplicateValues" dxfId="0" priority="5399"/>
  </conditionalFormatting>
  <conditionalFormatting sqref="B401">
    <cfRule type="duplicateValues" dxfId="0" priority="5390"/>
  </conditionalFormatting>
  <conditionalFormatting sqref="C401">
    <cfRule type="duplicateValues" dxfId="0" priority="5345"/>
  </conditionalFormatting>
  <conditionalFormatting sqref="A402">
    <cfRule type="duplicateValues" dxfId="0" priority="5336"/>
  </conditionalFormatting>
  <conditionalFormatting sqref="B402">
    <cfRule type="duplicateValues" dxfId="0" priority="5327"/>
  </conditionalFormatting>
  <conditionalFormatting sqref="C402">
    <cfRule type="duplicateValues" dxfId="0" priority="5282"/>
  </conditionalFormatting>
  <conditionalFormatting sqref="A403">
    <cfRule type="duplicateValues" dxfId="0" priority="5398"/>
  </conditionalFormatting>
  <conditionalFormatting sqref="B403">
    <cfRule type="duplicateValues" dxfId="0" priority="5389"/>
  </conditionalFormatting>
  <conditionalFormatting sqref="C403">
    <cfRule type="duplicateValues" dxfId="0" priority="5344"/>
  </conditionalFormatting>
  <conditionalFormatting sqref="A404">
    <cfRule type="duplicateValues" dxfId="0" priority="5335"/>
  </conditionalFormatting>
  <conditionalFormatting sqref="B404">
    <cfRule type="duplicateValues" dxfId="0" priority="5326"/>
  </conditionalFormatting>
  <conditionalFormatting sqref="C404">
    <cfRule type="duplicateValues" dxfId="0" priority="5281"/>
  </conditionalFormatting>
  <conditionalFormatting sqref="A405">
    <cfRule type="duplicateValues" dxfId="0" priority="5397"/>
  </conditionalFormatting>
  <conditionalFormatting sqref="B405">
    <cfRule type="duplicateValues" dxfId="0" priority="5388"/>
  </conditionalFormatting>
  <conditionalFormatting sqref="C405">
    <cfRule type="duplicateValues" dxfId="0" priority="5343"/>
  </conditionalFormatting>
  <conditionalFormatting sqref="A406">
    <cfRule type="duplicateValues" dxfId="0" priority="5334"/>
  </conditionalFormatting>
  <conditionalFormatting sqref="B406">
    <cfRule type="duplicateValues" dxfId="0" priority="5325"/>
  </conditionalFormatting>
  <conditionalFormatting sqref="C406">
    <cfRule type="duplicateValues" dxfId="0" priority="5280"/>
  </conditionalFormatting>
  <conditionalFormatting sqref="A407">
    <cfRule type="duplicateValues" dxfId="0" priority="5396"/>
  </conditionalFormatting>
  <conditionalFormatting sqref="B407">
    <cfRule type="duplicateValues" dxfId="0" priority="5387"/>
  </conditionalFormatting>
  <conditionalFormatting sqref="C407">
    <cfRule type="duplicateValues" dxfId="0" priority="5342"/>
  </conditionalFormatting>
  <conditionalFormatting sqref="A408">
    <cfRule type="duplicateValues" dxfId="0" priority="5333"/>
  </conditionalFormatting>
  <conditionalFormatting sqref="B408">
    <cfRule type="duplicateValues" dxfId="0" priority="5324"/>
  </conditionalFormatting>
  <conditionalFormatting sqref="C408">
    <cfRule type="duplicateValues" dxfId="0" priority="5279"/>
  </conditionalFormatting>
  <conditionalFormatting sqref="A409">
    <cfRule type="duplicateValues" dxfId="0" priority="5168"/>
  </conditionalFormatting>
  <conditionalFormatting sqref="B409">
    <cfRule type="duplicateValues" dxfId="0" priority="5166"/>
  </conditionalFormatting>
  <conditionalFormatting sqref="C409">
    <cfRule type="duplicateValues" dxfId="0" priority="5164"/>
  </conditionalFormatting>
  <conditionalFormatting sqref="A410">
    <cfRule type="duplicateValues" dxfId="0" priority="5162"/>
  </conditionalFormatting>
  <conditionalFormatting sqref="B410">
    <cfRule type="duplicateValues" dxfId="0" priority="5160"/>
  </conditionalFormatting>
  <conditionalFormatting sqref="C410">
    <cfRule type="duplicateValues" dxfId="0" priority="5158"/>
  </conditionalFormatting>
  <conditionalFormatting sqref="A411">
    <cfRule type="duplicateValues" dxfId="0" priority="5167"/>
  </conditionalFormatting>
  <conditionalFormatting sqref="B411">
    <cfRule type="duplicateValues" dxfId="0" priority="5165"/>
  </conditionalFormatting>
  <conditionalFormatting sqref="C411">
    <cfRule type="duplicateValues" dxfId="0" priority="5163"/>
  </conditionalFormatting>
  <conditionalFormatting sqref="A412">
    <cfRule type="duplicateValues" dxfId="0" priority="5161"/>
  </conditionalFormatting>
  <conditionalFormatting sqref="B412">
    <cfRule type="duplicateValues" dxfId="0" priority="5159"/>
  </conditionalFormatting>
  <conditionalFormatting sqref="C412">
    <cfRule type="duplicateValues" dxfId="0" priority="5157"/>
  </conditionalFormatting>
  <conditionalFormatting sqref="A413">
    <cfRule type="duplicateValues" dxfId="0" priority="5145"/>
  </conditionalFormatting>
  <conditionalFormatting sqref="B413">
    <cfRule type="duplicateValues" dxfId="0" priority="5144"/>
  </conditionalFormatting>
  <conditionalFormatting sqref="C413">
    <cfRule type="duplicateValues" dxfId="0" priority="5143"/>
  </conditionalFormatting>
  <conditionalFormatting sqref="A414">
    <cfRule type="duplicateValues" dxfId="0" priority="5142"/>
  </conditionalFormatting>
  <conditionalFormatting sqref="B414">
    <cfRule type="duplicateValues" dxfId="0" priority="5141"/>
  </conditionalFormatting>
  <conditionalFormatting sqref="C414">
    <cfRule type="duplicateValues" dxfId="0" priority="5140"/>
  </conditionalFormatting>
  <conditionalFormatting sqref="A415">
    <cfRule type="duplicateValues" dxfId="0" priority="5131"/>
  </conditionalFormatting>
  <conditionalFormatting sqref="B415">
    <cfRule type="duplicateValues" dxfId="0" priority="5060"/>
  </conditionalFormatting>
  <conditionalFormatting sqref="C415">
    <cfRule type="duplicateValues" dxfId="0" priority="5056"/>
  </conditionalFormatting>
  <conditionalFormatting sqref="A416">
    <cfRule type="duplicateValues" dxfId="0" priority="5119"/>
  </conditionalFormatting>
  <conditionalFormatting sqref="B416">
    <cfRule type="duplicateValues" dxfId="0" priority="5052"/>
  </conditionalFormatting>
  <conditionalFormatting sqref="C416">
    <cfRule type="duplicateValues" dxfId="0" priority="5049"/>
  </conditionalFormatting>
  <conditionalFormatting sqref="A417">
    <cfRule type="duplicateValues" dxfId="0" priority="5130"/>
  </conditionalFormatting>
  <conditionalFormatting sqref="B417">
    <cfRule type="duplicateValues" dxfId="0" priority="5059"/>
  </conditionalFormatting>
  <conditionalFormatting sqref="C417">
    <cfRule type="duplicateValues" dxfId="0" priority="5055"/>
  </conditionalFormatting>
  <conditionalFormatting sqref="A418">
    <cfRule type="duplicateValues" dxfId="0" priority="5118"/>
  </conditionalFormatting>
  <conditionalFormatting sqref="B418">
    <cfRule type="duplicateValues" dxfId="0" priority="5051"/>
  </conditionalFormatting>
  <conditionalFormatting sqref="C418">
    <cfRule type="duplicateValues" dxfId="0" priority="5048"/>
  </conditionalFormatting>
  <conditionalFormatting sqref="A419">
    <cfRule type="duplicateValues" dxfId="0" priority="5129"/>
  </conditionalFormatting>
  <conditionalFormatting sqref="B419">
    <cfRule type="duplicateValues" dxfId="0" priority="5058"/>
  </conditionalFormatting>
  <conditionalFormatting sqref="C419">
    <cfRule type="duplicateValues" dxfId="0" priority="5054"/>
  </conditionalFormatting>
  <conditionalFormatting sqref="A420">
    <cfRule type="duplicateValues" dxfId="0" priority="5117"/>
  </conditionalFormatting>
  <conditionalFormatting sqref="B420">
    <cfRule type="duplicateValues" dxfId="0" priority="5050"/>
  </conditionalFormatting>
  <conditionalFormatting sqref="C420">
    <cfRule type="duplicateValues" dxfId="0" priority="5047"/>
  </conditionalFormatting>
  <conditionalFormatting sqref="A421">
    <cfRule type="duplicateValues" dxfId="0" priority="5103"/>
  </conditionalFormatting>
  <conditionalFormatting sqref="B421">
    <cfRule type="duplicateValues" dxfId="0" priority="5057"/>
  </conditionalFormatting>
  <conditionalFormatting sqref="C421">
    <cfRule type="duplicateValues" dxfId="0" priority="5053"/>
  </conditionalFormatting>
  <conditionalFormatting sqref="A422">
    <cfRule type="duplicateValues" dxfId="0" priority="5032"/>
  </conditionalFormatting>
  <conditionalFormatting sqref="B422">
    <cfRule type="duplicateValues" dxfId="0" priority="4994"/>
  </conditionalFormatting>
  <conditionalFormatting sqref="C422">
    <cfRule type="duplicateValues" dxfId="0" priority="4988"/>
  </conditionalFormatting>
  <conditionalFormatting sqref="A423">
    <cfRule type="duplicateValues" dxfId="0" priority="5037"/>
  </conditionalFormatting>
  <conditionalFormatting sqref="B423">
    <cfRule type="duplicateValues" dxfId="0" priority="5004"/>
  </conditionalFormatting>
  <conditionalFormatting sqref="C423">
    <cfRule type="duplicateValues" dxfId="0" priority="4999"/>
  </conditionalFormatting>
  <conditionalFormatting sqref="A424">
    <cfRule type="duplicateValues" dxfId="0" priority="5031"/>
  </conditionalFormatting>
  <conditionalFormatting sqref="B424">
    <cfRule type="duplicateValues" dxfId="0" priority="4993"/>
  </conditionalFormatting>
  <conditionalFormatting sqref="C424">
    <cfRule type="duplicateValues" dxfId="0" priority="4981"/>
  </conditionalFormatting>
  <conditionalFormatting sqref="A425">
    <cfRule type="duplicateValues" dxfId="0" priority="4510"/>
  </conditionalFormatting>
  <conditionalFormatting sqref="B425">
    <cfRule type="duplicateValues" dxfId="0" priority="4468"/>
  </conditionalFormatting>
  <conditionalFormatting sqref="C425">
    <cfRule type="duplicateValues" dxfId="0" priority="4384"/>
  </conditionalFormatting>
  <conditionalFormatting sqref="A426">
    <cfRule type="duplicateValues" dxfId="0" priority="4489"/>
  </conditionalFormatting>
  <conditionalFormatting sqref="B426">
    <cfRule type="duplicateValues" dxfId="0" priority="4426"/>
  </conditionalFormatting>
  <conditionalFormatting sqref="C426">
    <cfRule type="duplicateValues" dxfId="0" priority="4363"/>
  </conditionalFormatting>
  <conditionalFormatting sqref="A427">
    <cfRule type="duplicateValues" dxfId="0" priority="4509"/>
  </conditionalFormatting>
  <conditionalFormatting sqref="B427">
    <cfRule type="duplicateValues" dxfId="0" priority="4467"/>
  </conditionalFormatting>
  <conditionalFormatting sqref="C427">
    <cfRule type="duplicateValues" dxfId="0" priority="4383"/>
  </conditionalFormatting>
  <conditionalFormatting sqref="A428">
    <cfRule type="duplicateValues" dxfId="0" priority="4488"/>
  </conditionalFormatting>
  <conditionalFormatting sqref="B428">
    <cfRule type="duplicateValues" dxfId="0" priority="4425"/>
  </conditionalFormatting>
  <conditionalFormatting sqref="C428">
    <cfRule type="duplicateValues" dxfId="0" priority="4362"/>
  </conditionalFormatting>
  <conditionalFormatting sqref="A429">
    <cfRule type="duplicateValues" dxfId="0" priority="4508"/>
  </conditionalFormatting>
  <conditionalFormatting sqref="B429">
    <cfRule type="duplicateValues" dxfId="0" priority="4466"/>
  </conditionalFormatting>
  <conditionalFormatting sqref="C429">
    <cfRule type="duplicateValues" dxfId="0" priority="4382"/>
  </conditionalFormatting>
  <conditionalFormatting sqref="A430">
    <cfRule type="duplicateValues" dxfId="0" priority="4487"/>
  </conditionalFormatting>
  <conditionalFormatting sqref="B430">
    <cfRule type="duplicateValues" dxfId="0" priority="4424"/>
  </conditionalFormatting>
  <conditionalFormatting sqref="C430">
    <cfRule type="duplicateValues" dxfId="0" priority="4361"/>
  </conditionalFormatting>
  <conditionalFormatting sqref="A431">
    <cfRule type="duplicateValues" dxfId="0" priority="4507"/>
  </conditionalFormatting>
  <conditionalFormatting sqref="B431">
    <cfRule type="duplicateValues" dxfId="0" priority="4465"/>
  </conditionalFormatting>
  <conditionalFormatting sqref="C431">
    <cfRule type="duplicateValues" dxfId="0" priority="4381"/>
  </conditionalFormatting>
  <conditionalFormatting sqref="A432">
    <cfRule type="duplicateValues" dxfId="0" priority="4486"/>
  </conditionalFormatting>
  <conditionalFormatting sqref="B432">
    <cfRule type="duplicateValues" dxfId="0" priority="4423"/>
  </conditionalFormatting>
  <conditionalFormatting sqref="C432">
    <cfRule type="duplicateValues" dxfId="0" priority="4360"/>
  </conditionalFormatting>
  <conditionalFormatting sqref="A433">
    <cfRule type="duplicateValues" dxfId="0" priority="4506"/>
  </conditionalFormatting>
  <conditionalFormatting sqref="B433">
    <cfRule type="duplicateValues" dxfId="0" priority="4464"/>
  </conditionalFormatting>
  <conditionalFormatting sqref="C433">
    <cfRule type="duplicateValues" dxfId="0" priority="4380"/>
  </conditionalFormatting>
  <conditionalFormatting sqref="A434">
    <cfRule type="duplicateValues" dxfId="0" priority="4485"/>
  </conditionalFormatting>
  <conditionalFormatting sqref="B434">
    <cfRule type="duplicateValues" dxfId="0" priority="4422"/>
  </conditionalFormatting>
  <conditionalFormatting sqref="C434">
    <cfRule type="duplicateValues" dxfId="0" priority="4359"/>
  </conditionalFormatting>
  <conditionalFormatting sqref="A435">
    <cfRule type="duplicateValues" dxfId="0" priority="4505"/>
  </conditionalFormatting>
  <conditionalFormatting sqref="B435">
    <cfRule type="duplicateValues" dxfId="0" priority="4463"/>
  </conditionalFormatting>
  <conditionalFormatting sqref="C435">
    <cfRule type="duplicateValues" dxfId="0" priority="4379"/>
  </conditionalFormatting>
  <conditionalFormatting sqref="A436">
    <cfRule type="duplicateValues" dxfId="0" priority="4484"/>
  </conditionalFormatting>
  <conditionalFormatting sqref="B436">
    <cfRule type="duplicateValues" dxfId="0" priority="4421"/>
  </conditionalFormatting>
  <conditionalFormatting sqref="C436">
    <cfRule type="duplicateValues" dxfId="0" priority="4358"/>
  </conditionalFormatting>
  <conditionalFormatting sqref="A437">
    <cfRule type="duplicateValues" dxfId="0" priority="4504"/>
  </conditionalFormatting>
  <conditionalFormatting sqref="B437">
    <cfRule type="duplicateValues" dxfId="0" priority="4462"/>
  </conditionalFormatting>
  <conditionalFormatting sqref="C437">
    <cfRule type="duplicateValues" dxfId="0" priority="4378"/>
  </conditionalFormatting>
  <conditionalFormatting sqref="A438">
    <cfRule type="duplicateValues" dxfId="0" priority="4483"/>
  </conditionalFormatting>
  <conditionalFormatting sqref="B438">
    <cfRule type="duplicateValues" dxfId="0" priority="4420"/>
  </conditionalFormatting>
  <conditionalFormatting sqref="C438">
    <cfRule type="duplicateValues" dxfId="0" priority="4357"/>
  </conditionalFormatting>
  <conditionalFormatting sqref="A439">
    <cfRule type="duplicateValues" dxfId="0" priority="4503"/>
  </conditionalFormatting>
  <conditionalFormatting sqref="B439">
    <cfRule type="duplicateValues" dxfId="0" priority="4461"/>
  </conditionalFormatting>
  <conditionalFormatting sqref="C439">
    <cfRule type="duplicateValues" dxfId="0" priority="4377"/>
  </conditionalFormatting>
  <conditionalFormatting sqref="C440">
    <cfRule type="duplicateValues" dxfId="0" priority="4356"/>
  </conditionalFormatting>
  <conditionalFormatting sqref="C441">
    <cfRule type="duplicateValues" dxfId="0" priority="4142"/>
  </conditionalFormatting>
  <conditionalFormatting sqref="A442">
    <cfRule type="duplicateValues" dxfId="0" priority="4502"/>
  </conditionalFormatting>
  <conditionalFormatting sqref="B442">
    <cfRule type="duplicateValues" dxfId="0" priority="4460"/>
  </conditionalFormatting>
  <conditionalFormatting sqref="C442">
    <cfRule type="duplicateValues" dxfId="0" priority="4376"/>
  </conditionalFormatting>
  <conditionalFormatting sqref="A443">
    <cfRule type="duplicateValues" dxfId="0" priority="4481"/>
  </conditionalFormatting>
  <conditionalFormatting sqref="B443">
    <cfRule type="duplicateValues" dxfId="0" priority="4418"/>
  </conditionalFormatting>
  <conditionalFormatting sqref="C443">
    <cfRule type="duplicateValues" dxfId="0" priority="4355"/>
  </conditionalFormatting>
  <conditionalFormatting sqref="A444">
    <cfRule type="duplicateValues" dxfId="0" priority="4501"/>
  </conditionalFormatting>
  <conditionalFormatting sqref="B444">
    <cfRule type="duplicateValues" dxfId="0" priority="4459"/>
  </conditionalFormatting>
  <conditionalFormatting sqref="C444">
    <cfRule type="duplicateValues" dxfId="0" priority="4375"/>
  </conditionalFormatting>
  <conditionalFormatting sqref="A445">
    <cfRule type="duplicateValues" dxfId="0" priority="4480"/>
  </conditionalFormatting>
  <conditionalFormatting sqref="B445">
    <cfRule type="duplicateValues" dxfId="0" priority="4417"/>
  </conditionalFormatting>
  <conditionalFormatting sqref="C445">
    <cfRule type="duplicateValues" dxfId="0" priority="4354"/>
  </conditionalFormatting>
  <conditionalFormatting sqref="A446">
    <cfRule type="duplicateValues" dxfId="0" priority="4500"/>
  </conditionalFormatting>
  <conditionalFormatting sqref="B446">
    <cfRule type="duplicateValues" dxfId="0" priority="4458"/>
  </conditionalFormatting>
  <conditionalFormatting sqref="C446">
    <cfRule type="duplicateValues" dxfId="0" priority="4374"/>
  </conditionalFormatting>
  <conditionalFormatting sqref="A447">
    <cfRule type="duplicateValues" dxfId="0" priority="4479"/>
  </conditionalFormatting>
  <conditionalFormatting sqref="B447">
    <cfRule type="duplicateValues" dxfId="0" priority="4416"/>
  </conditionalFormatting>
  <conditionalFormatting sqref="C447">
    <cfRule type="duplicateValues" dxfId="0" priority="4353"/>
  </conditionalFormatting>
  <conditionalFormatting sqref="A448">
    <cfRule type="duplicateValues" dxfId="0" priority="4499"/>
  </conditionalFormatting>
  <conditionalFormatting sqref="B448">
    <cfRule type="duplicateValues" dxfId="0" priority="4457"/>
  </conditionalFormatting>
  <conditionalFormatting sqref="C448">
    <cfRule type="duplicateValues" dxfId="0" priority="4373"/>
  </conditionalFormatting>
  <conditionalFormatting sqref="A449">
    <cfRule type="duplicateValues" dxfId="0" priority="4478"/>
  </conditionalFormatting>
  <conditionalFormatting sqref="B449">
    <cfRule type="duplicateValues" dxfId="0" priority="4415"/>
  </conditionalFormatting>
  <conditionalFormatting sqref="C449">
    <cfRule type="duplicateValues" dxfId="0" priority="4352"/>
  </conditionalFormatting>
  <conditionalFormatting sqref="A450">
    <cfRule type="duplicateValues" dxfId="0" priority="4498"/>
  </conditionalFormatting>
  <conditionalFormatting sqref="B450">
    <cfRule type="duplicateValues" dxfId="0" priority="4456"/>
  </conditionalFormatting>
  <conditionalFormatting sqref="C450">
    <cfRule type="duplicateValues" dxfId="0" priority="4372"/>
  </conditionalFormatting>
  <conditionalFormatting sqref="A451">
    <cfRule type="duplicateValues" dxfId="0" priority="4477"/>
  </conditionalFormatting>
  <conditionalFormatting sqref="B451">
    <cfRule type="duplicateValues" dxfId="0" priority="4414"/>
  </conditionalFormatting>
  <conditionalFormatting sqref="C451">
    <cfRule type="duplicateValues" dxfId="0" priority="4351"/>
  </conditionalFormatting>
  <conditionalFormatting sqref="A452">
    <cfRule type="duplicateValues" dxfId="0" priority="4497"/>
  </conditionalFormatting>
  <conditionalFormatting sqref="B452">
    <cfRule type="duplicateValues" dxfId="0" priority="4455"/>
  </conditionalFormatting>
  <conditionalFormatting sqref="C452">
    <cfRule type="duplicateValues" dxfId="0" priority="4371"/>
  </conditionalFormatting>
  <conditionalFormatting sqref="A453">
    <cfRule type="duplicateValues" dxfId="0" priority="4476"/>
  </conditionalFormatting>
  <conditionalFormatting sqref="B453">
    <cfRule type="duplicateValues" dxfId="0" priority="4413"/>
  </conditionalFormatting>
  <conditionalFormatting sqref="C453">
    <cfRule type="duplicateValues" dxfId="0" priority="4350"/>
  </conditionalFormatting>
  <conditionalFormatting sqref="A454">
    <cfRule type="duplicateValues" dxfId="0" priority="4496"/>
  </conditionalFormatting>
  <conditionalFormatting sqref="B454">
    <cfRule type="duplicateValues" dxfId="0" priority="4454"/>
  </conditionalFormatting>
  <conditionalFormatting sqref="C454">
    <cfRule type="duplicateValues" dxfId="0" priority="4370"/>
  </conditionalFormatting>
  <conditionalFormatting sqref="A455">
    <cfRule type="duplicateValues" dxfId="0" priority="4475"/>
  </conditionalFormatting>
  <conditionalFormatting sqref="B455">
    <cfRule type="duplicateValues" dxfId="0" priority="4412"/>
  </conditionalFormatting>
  <conditionalFormatting sqref="C455">
    <cfRule type="duplicateValues" dxfId="0" priority="4349"/>
  </conditionalFormatting>
  <conditionalFormatting sqref="A456">
    <cfRule type="duplicateValues" dxfId="0" priority="4495"/>
  </conditionalFormatting>
  <conditionalFormatting sqref="B456">
    <cfRule type="duplicateValues" dxfId="0" priority="4453"/>
  </conditionalFormatting>
  <conditionalFormatting sqref="C456">
    <cfRule type="duplicateValues" dxfId="0" priority="4369"/>
  </conditionalFormatting>
  <conditionalFormatting sqref="A457">
    <cfRule type="duplicateValues" dxfId="0" priority="4474"/>
  </conditionalFormatting>
  <conditionalFormatting sqref="B457">
    <cfRule type="duplicateValues" dxfId="0" priority="4411"/>
  </conditionalFormatting>
  <conditionalFormatting sqref="C457">
    <cfRule type="duplicateValues" dxfId="0" priority="4348"/>
  </conditionalFormatting>
  <conditionalFormatting sqref="A458">
    <cfRule type="duplicateValues" dxfId="0" priority="4494"/>
  </conditionalFormatting>
  <conditionalFormatting sqref="B458">
    <cfRule type="duplicateValues" dxfId="0" priority="4452"/>
  </conditionalFormatting>
  <conditionalFormatting sqref="C458">
    <cfRule type="duplicateValues" dxfId="0" priority="4368"/>
  </conditionalFormatting>
  <conditionalFormatting sqref="A459">
    <cfRule type="duplicateValues" dxfId="0" priority="4473"/>
  </conditionalFormatting>
  <conditionalFormatting sqref="B459">
    <cfRule type="duplicateValues" dxfId="0" priority="4410"/>
  </conditionalFormatting>
  <conditionalFormatting sqref="C459">
    <cfRule type="duplicateValues" dxfId="0" priority="4347"/>
  </conditionalFormatting>
  <conditionalFormatting sqref="A460">
    <cfRule type="duplicateValues" dxfId="0" priority="4493"/>
  </conditionalFormatting>
  <conditionalFormatting sqref="B460">
    <cfRule type="duplicateValues" dxfId="0" priority="4451"/>
  </conditionalFormatting>
  <conditionalFormatting sqref="C460">
    <cfRule type="duplicateValues" dxfId="0" priority="4367"/>
  </conditionalFormatting>
  <conditionalFormatting sqref="A461">
    <cfRule type="duplicateValues" dxfId="0" priority="3834"/>
  </conditionalFormatting>
  <conditionalFormatting sqref="B461">
    <cfRule type="duplicateValues" dxfId="0" priority="3817"/>
  </conditionalFormatting>
  <conditionalFormatting sqref="C461">
    <cfRule type="duplicateValues" dxfId="0" priority="3800"/>
  </conditionalFormatting>
  <conditionalFormatting sqref="A462">
    <cfRule type="duplicateValues" dxfId="0" priority="3842"/>
  </conditionalFormatting>
  <conditionalFormatting sqref="B462">
    <cfRule type="duplicateValues" dxfId="0" priority="3825"/>
  </conditionalFormatting>
  <conditionalFormatting sqref="C462">
    <cfRule type="duplicateValues" dxfId="0" priority="3808"/>
  </conditionalFormatting>
  <conditionalFormatting sqref="A463">
    <cfRule type="duplicateValues" dxfId="0" priority="3833"/>
  </conditionalFormatting>
  <conditionalFormatting sqref="B463">
    <cfRule type="duplicateValues" dxfId="0" priority="3816"/>
  </conditionalFormatting>
  <conditionalFormatting sqref="C463">
    <cfRule type="duplicateValues" dxfId="0" priority="3799"/>
  </conditionalFormatting>
  <conditionalFormatting sqref="A464">
    <cfRule type="duplicateValues" dxfId="0" priority="3841"/>
  </conditionalFormatting>
  <conditionalFormatting sqref="B464">
    <cfRule type="duplicateValues" dxfId="0" priority="3824"/>
  </conditionalFormatting>
  <conditionalFormatting sqref="C464">
    <cfRule type="duplicateValues" dxfId="0" priority="3807"/>
  </conditionalFormatting>
  <conditionalFormatting sqref="A465">
    <cfRule type="duplicateValues" dxfId="0" priority="3832"/>
  </conditionalFormatting>
  <conditionalFormatting sqref="B465">
    <cfRule type="duplicateValues" dxfId="0" priority="3815"/>
  </conditionalFormatting>
  <conditionalFormatting sqref="C465">
    <cfRule type="duplicateValues" dxfId="0" priority="3798"/>
  </conditionalFormatting>
  <conditionalFormatting sqref="A466">
    <cfRule type="duplicateValues" dxfId="0" priority="3840"/>
  </conditionalFormatting>
  <conditionalFormatting sqref="B466">
    <cfRule type="duplicateValues" dxfId="0" priority="3823"/>
  </conditionalFormatting>
  <conditionalFormatting sqref="C466">
    <cfRule type="duplicateValues" dxfId="0" priority="3806"/>
  </conditionalFormatting>
  <conditionalFormatting sqref="A467">
    <cfRule type="duplicateValues" dxfId="0" priority="3831"/>
  </conditionalFormatting>
  <conditionalFormatting sqref="B467">
    <cfRule type="duplicateValues" dxfId="0" priority="3814"/>
  </conditionalFormatting>
  <conditionalFormatting sqref="C467">
    <cfRule type="duplicateValues" dxfId="0" priority="3797"/>
  </conditionalFormatting>
  <conditionalFormatting sqref="A468">
    <cfRule type="duplicateValues" dxfId="0" priority="3839"/>
  </conditionalFormatting>
  <conditionalFormatting sqref="B468">
    <cfRule type="duplicateValues" dxfId="0" priority="3822"/>
  </conditionalFormatting>
  <conditionalFormatting sqref="C468">
    <cfRule type="duplicateValues" dxfId="0" priority="3805"/>
  </conditionalFormatting>
  <conditionalFormatting sqref="A469">
    <cfRule type="duplicateValues" dxfId="0" priority="3830"/>
  </conditionalFormatting>
  <conditionalFormatting sqref="B469">
    <cfRule type="duplicateValues" dxfId="0" priority="3813"/>
  </conditionalFormatting>
  <conditionalFormatting sqref="C469">
    <cfRule type="duplicateValues" dxfId="0" priority="3796"/>
  </conditionalFormatting>
  <conditionalFormatting sqref="A470">
    <cfRule type="duplicateValues" dxfId="0" priority="3838"/>
  </conditionalFormatting>
  <conditionalFormatting sqref="B470">
    <cfRule type="duplicateValues" dxfId="0" priority="3821"/>
  </conditionalFormatting>
  <conditionalFormatting sqref="C470">
    <cfRule type="duplicateValues" dxfId="0" priority="3804"/>
  </conditionalFormatting>
  <conditionalFormatting sqref="A471">
    <cfRule type="duplicateValues" dxfId="0" priority="3829"/>
  </conditionalFormatting>
  <conditionalFormatting sqref="B471">
    <cfRule type="duplicateValues" dxfId="0" priority="3812"/>
  </conditionalFormatting>
  <conditionalFormatting sqref="C471">
    <cfRule type="duplicateValues" dxfId="0" priority="3795"/>
  </conditionalFormatting>
  <conditionalFormatting sqref="A472">
    <cfRule type="duplicateValues" dxfId="0" priority="3837"/>
  </conditionalFormatting>
  <conditionalFormatting sqref="B472">
    <cfRule type="duplicateValues" dxfId="0" priority="3820"/>
  </conditionalFormatting>
  <conditionalFormatting sqref="C472">
    <cfRule type="duplicateValues" dxfId="0" priority="3803"/>
  </conditionalFormatting>
  <conditionalFormatting sqref="A473">
    <cfRule type="duplicateValues" dxfId="0" priority="3828"/>
  </conditionalFormatting>
  <conditionalFormatting sqref="B473">
    <cfRule type="duplicateValues" dxfId="0" priority="3811"/>
  </conditionalFormatting>
  <conditionalFormatting sqref="C473">
    <cfRule type="duplicateValues" dxfId="0" priority="3794"/>
  </conditionalFormatting>
  <conditionalFormatting sqref="A474">
    <cfRule type="duplicateValues" dxfId="0" priority="3836"/>
  </conditionalFormatting>
  <conditionalFormatting sqref="B474">
    <cfRule type="duplicateValues" dxfId="0" priority="3819"/>
  </conditionalFormatting>
  <conditionalFormatting sqref="C474">
    <cfRule type="duplicateValues" dxfId="0" priority="3802"/>
  </conditionalFormatting>
  <conditionalFormatting sqref="A475">
    <cfRule type="duplicateValues" dxfId="0" priority="3827"/>
  </conditionalFormatting>
  <conditionalFormatting sqref="B475">
    <cfRule type="duplicateValues" dxfId="0" priority="3810"/>
  </conditionalFormatting>
  <conditionalFormatting sqref="C475">
    <cfRule type="duplicateValues" dxfId="0" priority="3793"/>
  </conditionalFormatting>
  <conditionalFormatting sqref="A476">
    <cfRule type="duplicateValues" dxfId="0" priority="3543"/>
  </conditionalFormatting>
  <conditionalFormatting sqref="B476">
    <cfRule type="duplicateValues" dxfId="0" priority="3514"/>
  </conditionalFormatting>
  <conditionalFormatting sqref="C476">
    <cfRule type="duplicateValues" dxfId="0" priority="3485"/>
  </conditionalFormatting>
  <conditionalFormatting sqref="A477">
    <cfRule type="duplicateValues" dxfId="0" priority="3528"/>
  </conditionalFormatting>
  <conditionalFormatting sqref="B477">
    <cfRule type="duplicateValues" dxfId="0" priority="3499"/>
  </conditionalFormatting>
  <conditionalFormatting sqref="C477">
    <cfRule type="duplicateValues" dxfId="0" priority="3470"/>
  </conditionalFormatting>
  <conditionalFormatting sqref="A478">
    <cfRule type="duplicateValues" dxfId="0" priority="3542"/>
  </conditionalFormatting>
  <conditionalFormatting sqref="B478">
    <cfRule type="duplicateValues" dxfId="0" priority="3513"/>
  </conditionalFormatting>
  <conditionalFormatting sqref="C478">
    <cfRule type="duplicateValues" dxfId="0" priority="3484"/>
  </conditionalFormatting>
  <conditionalFormatting sqref="A479">
    <cfRule type="duplicateValues" dxfId="0" priority="3527"/>
  </conditionalFormatting>
  <conditionalFormatting sqref="B479">
    <cfRule type="duplicateValues" dxfId="0" priority="3498"/>
  </conditionalFormatting>
  <conditionalFormatting sqref="C479">
    <cfRule type="duplicateValues" dxfId="0" priority="3469"/>
  </conditionalFormatting>
  <conditionalFormatting sqref="A480">
    <cfRule type="duplicateValues" dxfId="0" priority="3541"/>
  </conditionalFormatting>
  <conditionalFormatting sqref="B480">
    <cfRule type="duplicateValues" dxfId="0" priority="3512"/>
  </conditionalFormatting>
  <conditionalFormatting sqref="C480">
    <cfRule type="duplicateValues" dxfId="0" priority="3483"/>
  </conditionalFormatting>
  <conditionalFormatting sqref="A481">
    <cfRule type="duplicateValues" dxfId="0" priority="3526"/>
  </conditionalFormatting>
  <conditionalFormatting sqref="B481">
    <cfRule type="duplicateValues" dxfId="0" priority="3497"/>
  </conditionalFormatting>
  <conditionalFormatting sqref="C481">
    <cfRule type="duplicateValues" dxfId="0" priority="3468"/>
  </conditionalFormatting>
  <conditionalFormatting sqref="A482">
    <cfRule type="duplicateValues" dxfId="0" priority="3540"/>
  </conditionalFormatting>
  <conditionalFormatting sqref="B482">
    <cfRule type="duplicateValues" dxfId="0" priority="3511"/>
  </conditionalFormatting>
  <conditionalFormatting sqref="C482">
    <cfRule type="duplicateValues" dxfId="0" priority="3482"/>
  </conditionalFormatting>
  <conditionalFormatting sqref="A483">
    <cfRule type="duplicateValues" dxfId="0" priority="3525"/>
  </conditionalFormatting>
  <conditionalFormatting sqref="B483">
    <cfRule type="duplicateValues" dxfId="0" priority="3496"/>
  </conditionalFormatting>
  <conditionalFormatting sqref="C483">
    <cfRule type="duplicateValues" dxfId="0" priority="3467"/>
  </conditionalFormatting>
  <conditionalFormatting sqref="A484">
    <cfRule type="duplicateValues" dxfId="0" priority="3539"/>
  </conditionalFormatting>
  <conditionalFormatting sqref="B484">
    <cfRule type="duplicateValues" dxfId="0" priority="3510"/>
  </conditionalFormatting>
  <conditionalFormatting sqref="C484">
    <cfRule type="duplicateValues" dxfId="0" priority="3481"/>
  </conditionalFormatting>
  <conditionalFormatting sqref="A485">
    <cfRule type="duplicateValues" dxfId="0" priority="3524"/>
  </conditionalFormatting>
  <conditionalFormatting sqref="B485">
    <cfRule type="duplicateValues" dxfId="0" priority="3495"/>
  </conditionalFormatting>
  <conditionalFormatting sqref="C485">
    <cfRule type="duplicateValues" dxfId="0" priority="3466"/>
  </conditionalFormatting>
  <conditionalFormatting sqref="A486">
    <cfRule type="duplicateValues" dxfId="0" priority="3538"/>
  </conditionalFormatting>
  <conditionalFormatting sqref="B486">
    <cfRule type="duplicateValues" dxfId="0" priority="3509"/>
  </conditionalFormatting>
  <conditionalFormatting sqref="C486">
    <cfRule type="duplicateValues" dxfId="0" priority="3480"/>
  </conditionalFormatting>
  <conditionalFormatting sqref="A487">
    <cfRule type="duplicateValues" dxfId="0" priority="3523"/>
  </conditionalFormatting>
  <conditionalFormatting sqref="B487">
    <cfRule type="duplicateValues" dxfId="0" priority="3494"/>
  </conditionalFormatting>
  <conditionalFormatting sqref="C487">
    <cfRule type="duplicateValues" dxfId="0" priority="3465"/>
  </conditionalFormatting>
  <conditionalFormatting sqref="A488">
    <cfRule type="duplicateValues" dxfId="0" priority="3537"/>
  </conditionalFormatting>
  <conditionalFormatting sqref="B488">
    <cfRule type="duplicateValues" dxfId="0" priority="3508"/>
  </conditionalFormatting>
  <conditionalFormatting sqref="C488">
    <cfRule type="duplicateValues" dxfId="0" priority="3479"/>
  </conditionalFormatting>
  <conditionalFormatting sqref="A489">
    <cfRule type="duplicateValues" dxfId="0" priority="2974"/>
  </conditionalFormatting>
  <conditionalFormatting sqref="B489">
    <cfRule type="duplicateValues" dxfId="0" priority="3493"/>
  </conditionalFormatting>
  <conditionalFormatting sqref="C489">
    <cfRule type="duplicateValues" dxfId="0" priority="3464"/>
  </conditionalFormatting>
  <conditionalFormatting sqref="A490">
    <cfRule type="duplicateValues" dxfId="0" priority="3005"/>
  </conditionalFormatting>
  <conditionalFormatting sqref="B490">
    <cfRule type="duplicateValues" dxfId="0" priority="3507"/>
  </conditionalFormatting>
  <conditionalFormatting sqref="C490">
    <cfRule type="duplicateValues" dxfId="0" priority="3263"/>
  </conditionalFormatting>
  <conditionalFormatting sqref="A491">
    <cfRule type="duplicateValues" dxfId="0" priority="2973"/>
  </conditionalFormatting>
  <conditionalFormatting sqref="B491">
    <cfRule type="duplicateValues" dxfId="0" priority="3492"/>
  </conditionalFormatting>
  <conditionalFormatting sqref="C491">
    <cfRule type="duplicateValues" dxfId="0" priority="3255"/>
  </conditionalFormatting>
  <conditionalFormatting sqref="A492">
    <cfRule type="duplicateValues" dxfId="0" priority="3004"/>
  </conditionalFormatting>
  <conditionalFormatting sqref="B492">
    <cfRule type="duplicateValues" dxfId="0" priority="3506"/>
  </conditionalFormatting>
  <conditionalFormatting sqref="C492">
    <cfRule type="duplicateValues" dxfId="0" priority="3262"/>
  </conditionalFormatting>
  <conditionalFormatting sqref="A493">
    <cfRule type="duplicateValues" dxfId="0" priority="2972"/>
  </conditionalFormatting>
  <conditionalFormatting sqref="B493">
    <cfRule type="duplicateValues" dxfId="0" priority="3491"/>
  </conditionalFormatting>
  <conditionalFormatting sqref="C493">
    <cfRule type="duplicateValues" dxfId="0" priority="3254"/>
  </conditionalFormatting>
  <conditionalFormatting sqref="A494">
    <cfRule type="duplicateValues" dxfId="0" priority="3003"/>
  </conditionalFormatting>
  <conditionalFormatting sqref="B494">
    <cfRule type="duplicateValues" dxfId="0" priority="3505"/>
  </conditionalFormatting>
  <conditionalFormatting sqref="C494">
    <cfRule type="duplicateValues" dxfId="0" priority="3261"/>
  </conditionalFormatting>
  <conditionalFormatting sqref="A495">
    <cfRule type="duplicateValues" dxfId="0" priority="2971"/>
  </conditionalFormatting>
  <conditionalFormatting sqref="B495">
    <cfRule type="duplicateValues" dxfId="0" priority="3490"/>
  </conditionalFormatting>
  <conditionalFormatting sqref="C495">
    <cfRule type="duplicateValues" dxfId="0" priority="3253"/>
  </conditionalFormatting>
  <conditionalFormatting sqref="A496">
    <cfRule type="duplicateValues" dxfId="0" priority="3002"/>
  </conditionalFormatting>
  <conditionalFormatting sqref="B496">
    <cfRule type="duplicateValues" dxfId="0" priority="3504"/>
  </conditionalFormatting>
  <conditionalFormatting sqref="C496">
    <cfRule type="duplicateValues" dxfId="0" priority="3260"/>
  </conditionalFormatting>
  <conditionalFormatting sqref="A497">
    <cfRule type="duplicateValues" dxfId="0" priority="2970"/>
  </conditionalFormatting>
  <conditionalFormatting sqref="B497">
    <cfRule type="duplicateValues" dxfId="0" priority="3489"/>
  </conditionalFormatting>
  <conditionalFormatting sqref="C497">
    <cfRule type="duplicateValues" dxfId="0" priority="3252"/>
  </conditionalFormatting>
  <conditionalFormatting sqref="A498">
    <cfRule type="duplicateValues" dxfId="0" priority="3001"/>
  </conditionalFormatting>
  <conditionalFormatting sqref="B498">
    <cfRule type="duplicateValues" dxfId="0" priority="3503"/>
  </conditionalFormatting>
  <conditionalFormatting sqref="C498">
    <cfRule type="duplicateValues" dxfId="0" priority="3259"/>
  </conditionalFormatting>
  <conditionalFormatting sqref="A499">
    <cfRule type="duplicateValues" dxfId="0" priority="2969"/>
  </conditionalFormatting>
  <conditionalFormatting sqref="B499">
    <cfRule type="duplicateValues" dxfId="0" priority="3488"/>
  </conditionalFormatting>
  <conditionalFormatting sqref="C499">
    <cfRule type="duplicateValues" dxfId="0" priority="3251"/>
  </conditionalFormatting>
  <conditionalFormatting sqref="A500">
    <cfRule type="duplicateValues" dxfId="0" priority="3000"/>
  </conditionalFormatting>
  <conditionalFormatting sqref="B500">
    <cfRule type="duplicateValues" dxfId="0" priority="3502"/>
  </conditionalFormatting>
  <conditionalFormatting sqref="C500">
    <cfRule type="duplicateValues" dxfId="0" priority="3258"/>
  </conditionalFormatting>
  <conditionalFormatting sqref="A501">
    <cfRule type="duplicateValues" dxfId="0" priority="2968"/>
  </conditionalFormatting>
  <conditionalFormatting sqref="B501">
    <cfRule type="duplicateValues" dxfId="0" priority="3487"/>
  </conditionalFormatting>
  <conditionalFormatting sqref="C501">
    <cfRule type="duplicateValues" dxfId="0" priority="3250"/>
  </conditionalFormatting>
  <conditionalFormatting sqref="A502">
    <cfRule type="duplicateValues" dxfId="0" priority="2999"/>
  </conditionalFormatting>
  <conditionalFormatting sqref="B502">
    <cfRule type="duplicateValues" dxfId="0" priority="3180"/>
  </conditionalFormatting>
  <conditionalFormatting sqref="C502">
    <cfRule type="duplicateValues" dxfId="0" priority="3080"/>
  </conditionalFormatting>
  <conditionalFormatting sqref="A503">
    <cfRule type="duplicateValues" dxfId="0" priority="2967"/>
  </conditionalFormatting>
  <conditionalFormatting sqref="B503">
    <cfRule type="duplicateValues" dxfId="0" priority="3155"/>
  </conditionalFormatting>
  <conditionalFormatting sqref="C503">
    <cfRule type="duplicateValues" dxfId="0" priority="3055"/>
  </conditionalFormatting>
  <conditionalFormatting sqref="A504">
    <cfRule type="duplicateValues" dxfId="0" priority="2998"/>
  </conditionalFormatting>
  <conditionalFormatting sqref="B504">
    <cfRule type="duplicateValues" dxfId="0" priority="3179"/>
  </conditionalFormatting>
  <conditionalFormatting sqref="C504">
    <cfRule type="duplicateValues" dxfId="0" priority="3079"/>
  </conditionalFormatting>
  <conditionalFormatting sqref="A505">
    <cfRule type="duplicateValues" dxfId="0" priority="2966"/>
  </conditionalFormatting>
  <conditionalFormatting sqref="B505">
    <cfRule type="duplicateValues" dxfId="0" priority="3154"/>
  </conditionalFormatting>
  <conditionalFormatting sqref="C505">
    <cfRule type="duplicateValues" dxfId="0" priority="3054"/>
  </conditionalFormatting>
  <conditionalFormatting sqref="A506">
    <cfRule type="duplicateValues" dxfId="0" priority="2997"/>
  </conditionalFormatting>
  <conditionalFormatting sqref="B506">
    <cfRule type="duplicateValues" dxfId="0" priority="3178"/>
  </conditionalFormatting>
  <conditionalFormatting sqref="C506">
    <cfRule type="duplicateValues" dxfId="0" priority="3078"/>
  </conditionalFormatting>
  <conditionalFormatting sqref="A507">
    <cfRule type="duplicateValues" dxfId="0" priority="2965"/>
  </conditionalFormatting>
  <conditionalFormatting sqref="B507">
    <cfRule type="duplicateValues" dxfId="0" priority="3153"/>
  </conditionalFormatting>
  <conditionalFormatting sqref="C507">
    <cfRule type="duplicateValues" dxfId="0" priority="3053"/>
  </conditionalFormatting>
  <conditionalFormatting sqref="A508">
    <cfRule type="duplicateValues" dxfId="0" priority="2996"/>
  </conditionalFormatting>
  <conditionalFormatting sqref="B508">
    <cfRule type="duplicateValues" dxfId="0" priority="3177"/>
  </conditionalFormatting>
  <conditionalFormatting sqref="C508">
    <cfRule type="duplicateValues" dxfId="0" priority="3077"/>
  </conditionalFormatting>
  <conditionalFormatting sqref="A509">
    <cfRule type="duplicateValues" dxfId="0" priority="2964"/>
  </conditionalFormatting>
  <conditionalFormatting sqref="B509">
    <cfRule type="duplicateValues" dxfId="0" priority="3152"/>
  </conditionalFormatting>
  <conditionalFormatting sqref="C509">
    <cfRule type="duplicateValues" dxfId="0" priority="3052"/>
  </conditionalFormatting>
  <conditionalFormatting sqref="A510">
    <cfRule type="duplicateValues" dxfId="0" priority="2995"/>
  </conditionalFormatting>
  <conditionalFormatting sqref="B510">
    <cfRule type="duplicateValues" dxfId="0" priority="3176"/>
  </conditionalFormatting>
  <conditionalFormatting sqref="C510">
    <cfRule type="duplicateValues" dxfId="0" priority="3076"/>
  </conditionalFormatting>
  <conditionalFormatting sqref="A511">
    <cfRule type="duplicateValues" dxfId="0" priority="2963"/>
  </conditionalFormatting>
  <conditionalFormatting sqref="B511">
    <cfRule type="duplicateValues" dxfId="0" priority="3151"/>
  </conditionalFormatting>
  <conditionalFormatting sqref="C511">
    <cfRule type="duplicateValues" dxfId="0" priority="3051"/>
  </conditionalFormatting>
  <conditionalFormatting sqref="A512">
    <cfRule type="duplicateValues" dxfId="0" priority="2994"/>
  </conditionalFormatting>
  <conditionalFormatting sqref="B512">
    <cfRule type="duplicateValues" dxfId="0" priority="3175"/>
  </conditionalFormatting>
  <conditionalFormatting sqref="C512">
    <cfRule type="duplicateValues" dxfId="0" priority="3075"/>
  </conditionalFormatting>
  <conditionalFormatting sqref="A513">
    <cfRule type="duplicateValues" dxfId="0" priority="2962"/>
  </conditionalFormatting>
  <conditionalFormatting sqref="B513">
    <cfRule type="duplicateValues" dxfId="0" priority="3150"/>
  </conditionalFormatting>
  <conditionalFormatting sqref="C513">
    <cfRule type="duplicateValues" dxfId="0" priority="3050"/>
  </conditionalFormatting>
  <conditionalFormatting sqref="A514">
    <cfRule type="duplicateValues" dxfId="0" priority="2993"/>
  </conditionalFormatting>
  <conditionalFormatting sqref="B514">
    <cfRule type="duplicateValues" dxfId="0" priority="3174"/>
  </conditionalFormatting>
  <conditionalFormatting sqref="C514">
    <cfRule type="duplicateValues" dxfId="0" priority="3074"/>
  </conditionalFormatting>
  <conditionalFormatting sqref="A515">
    <cfRule type="duplicateValues" dxfId="0" priority="2961"/>
  </conditionalFormatting>
  <conditionalFormatting sqref="B515">
    <cfRule type="duplicateValues" dxfId="0" priority="3149"/>
  </conditionalFormatting>
  <conditionalFormatting sqref="C515">
    <cfRule type="duplicateValues" dxfId="0" priority="3049"/>
  </conditionalFormatting>
  <conditionalFormatting sqref="A516">
    <cfRule type="duplicateValues" dxfId="0" priority="2992"/>
  </conditionalFormatting>
  <conditionalFormatting sqref="B516">
    <cfRule type="duplicateValues" dxfId="0" priority="3173"/>
  </conditionalFormatting>
  <conditionalFormatting sqref="C516">
    <cfRule type="duplicateValues" dxfId="0" priority="3073"/>
  </conditionalFormatting>
  <conditionalFormatting sqref="A517">
    <cfRule type="duplicateValues" dxfId="0" priority="2960"/>
  </conditionalFormatting>
  <conditionalFormatting sqref="B517">
    <cfRule type="duplicateValues" dxfId="0" priority="3148"/>
  </conditionalFormatting>
  <conditionalFormatting sqref="C517">
    <cfRule type="duplicateValues" dxfId="0" priority="3048"/>
  </conditionalFormatting>
  <conditionalFormatting sqref="A518">
    <cfRule type="duplicateValues" dxfId="0" priority="2991"/>
  </conditionalFormatting>
  <conditionalFormatting sqref="B518">
    <cfRule type="duplicateValues" dxfId="0" priority="3172"/>
  </conditionalFormatting>
  <conditionalFormatting sqref="C518">
    <cfRule type="duplicateValues" dxfId="0" priority="3072"/>
  </conditionalFormatting>
  <conditionalFormatting sqref="A519">
    <cfRule type="duplicateValues" dxfId="0" priority="2959"/>
  </conditionalFormatting>
  <conditionalFormatting sqref="B519">
    <cfRule type="duplicateValues" dxfId="0" priority="3147"/>
  </conditionalFormatting>
  <conditionalFormatting sqref="C519">
    <cfRule type="duplicateValues" dxfId="0" priority="3047"/>
  </conditionalFormatting>
  <conditionalFormatting sqref="A520">
    <cfRule type="duplicateValues" dxfId="0" priority="2990"/>
  </conditionalFormatting>
  <conditionalFormatting sqref="B520">
    <cfRule type="duplicateValues" dxfId="0" priority="3171"/>
  </conditionalFormatting>
  <conditionalFormatting sqref="C520">
    <cfRule type="duplicateValues" dxfId="0" priority="3071"/>
  </conditionalFormatting>
  <conditionalFormatting sqref="A521">
    <cfRule type="duplicateValues" dxfId="0" priority="2958"/>
  </conditionalFormatting>
  <conditionalFormatting sqref="B521">
    <cfRule type="duplicateValues" dxfId="0" priority="3146"/>
  </conditionalFormatting>
  <conditionalFormatting sqref="C521">
    <cfRule type="duplicateValues" dxfId="0" priority="3046"/>
  </conditionalFormatting>
  <conditionalFormatting sqref="A522">
    <cfRule type="duplicateValues" dxfId="0" priority="2989"/>
  </conditionalFormatting>
  <conditionalFormatting sqref="B522">
    <cfRule type="duplicateValues" dxfId="0" priority="3170"/>
  </conditionalFormatting>
  <conditionalFormatting sqref="C522">
    <cfRule type="duplicateValues" dxfId="0" priority="3070"/>
  </conditionalFormatting>
  <conditionalFormatting sqref="A523">
    <cfRule type="duplicateValues" dxfId="0" priority="2957"/>
  </conditionalFormatting>
  <conditionalFormatting sqref="B523">
    <cfRule type="duplicateValues" dxfId="0" priority="3145"/>
  </conditionalFormatting>
  <conditionalFormatting sqref="C523">
    <cfRule type="duplicateValues" dxfId="0" priority="3045"/>
  </conditionalFormatting>
  <conditionalFormatting sqref="A524">
    <cfRule type="duplicateValues" dxfId="0" priority="2988"/>
  </conditionalFormatting>
  <conditionalFormatting sqref="B524">
    <cfRule type="duplicateValues" dxfId="0" priority="3169"/>
  </conditionalFormatting>
  <conditionalFormatting sqref="C524">
    <cfRule type="duplicateValues" dxfId="0" priority="3069"/>
  </conditionalFormatting>
  <conditionalFormatting sqref="A525">
    <cfRule type="duplicateValues" dxfId="0" priority="2956"/>
  </conditionalFormatting>
  <conditionalFormatting sqref="B525">
    <cfRule type="duplicateValues" dxfId="0" priority="3144"/>
  </conditionalFormatting>
  <conditionalFormatting sqref="C525">
    <cfRule type="duplicateValues" dxfId="0" priority="3044"/>
  </conditionalFormatting>
  <conditionalFormatting sqref="A526">
    <cfRule type="duplicateValues" dxfId="0" priority="2987"/>
  </conditionalFormatting>
  <conditionalFormatting sqref="B526">
    <cfRule type="duplicateValues" dxfId="0" priority="3168"/>
  </conditionalFormatting>
  <conditionalFormatting sqref="C526">
    <cfRule type="duplicateValues" dxfId="0" priority="3068"/>
  </conditionalFormatting>
  <conditionalFormatting sqref="A527">
    <cfRule type="duplicateValues" dxfId="0" priority="2955"/>
  </conditionalFormatting>
  <conditionalFormatting sqref="B527">
    <cfRule type="duplicateValues" dxfId="0" priority="3143"/>
  </conditionalFormatting>
  <conditionalFormatting sqref="C527">
    <cfRule type="duplicateValues" dxfId="0" priority="3043"/>
  </conditionalFormatting>
  <conditionalFormatting sqref="A528">
    <cfRule type="duplicateValues" dxfId="0" priority="2986"/>
  </conditionalFormatting>
  <conditionalFormatting sqref="B528">
    <cfRule type="duplicateValues" dxfId="0" priority="3167"/>
  </conditionalFormatting>
  <conditionalFormatting sqref="C528">
    <cfRule type="duplicateValues" dxfId="0" priority="3067"/>
  </conditionalFormatting>
  <conditionalFormatting sqref="A529">
    <cfRule type="duplicateValues" dxfId="0" priority="2954"/>
  </conditionalFormatting>
  <conditionalFormatting sqref="B529">
    <cfRule type="duplicateValues" dxfId="0" priority="3142"/>
  </conditionalFormatting>
  <conditionalFormatting sqref="C529">
    <cfRule type="duplicateValues" dxfId="0" priority="3042"/>
  </conditionalFormatting>
  <conditionalFormatting sqref="A530">
    <cfRule type="duplicateValues" dxfId="0" priority="2985"/>
  </conditionalFormatting>
  <conditionalFormatting sqref="B530">
    <cfRule type="duplicateValues" dxfId="0" priority="3166"/>
  </conditionalFormatting>
  <conditionalFormatting sqref="C530">
    <cfRule type="duplicateValues" dxfId="0" priority="3066"/>
  </conditionalFormatting>
  <conditionalFormatting sqref="A531">
    <cfRule type="duplicateValues" dxfId="0" priority="2953"/>
  </conditionalFormatting>
  <conditionalFormatting sqref="B531">
    <cfRule type="duplicateValues" dxfId="0" priority="3141"/>
  </conditionalFormatting>
  <conditionalFormatting sqref="C531">
    <cfRule type="duplicateValues" dxfId="0" priority="3041"/>
  </conditionalFormatting>
  <conditionalFormatting sqref="A532">
    <cfRule type="duplicateValues" dxfId="0" priority="2984"/>
  </conditionalFormatting>
  <conditionalFormatting sqref="B532">
    <cfRule type="duplicateValues" dxfId="0" priority="3165"/>
  </conditionalFormatting>
  <conditionalFormatting sqref="C532">
    <cfRule type="duplicateValues" dxfId="0" priority="3065"/>
  </conditionalFormatting>
  <conditionalFormatting sqref="A533">
    <cfRule type="duplicateValues" dxfId="0" priority="2952"/>
  </conditionalFormatting>
  <conditionalFormatting sqref="B533">
    <cfRule type="duplicateValues" dxfId="0" priority="3140"/>
  </conditionalFormatting>
  <conditionalFormatting sqref="C533">
    <cfRule type="duplicateValues" dxfId="0" priority="3040"/>
  </conditionalFormatting>
  <conditionalFormatting sqref="A534">
    <cfRule type="duplicateValues" dxfId="0" priority="2983"/>
  </conditionalFormatting>
  <conditionalFormatting sqref="B534">
    <cfRule type="duplicateValues" dxfId="0" priority="3164"/>
  </conditionalFormatting>
  <conditionalFormatting sqref="C534">
    <cfRule type="duplicateValues" dxfId="0" priority="3064"/>
  </conditionalFormatting>
  <conditionalFormatting sqref="A535">
    <cfRule type="duplicateValues" dxfId="0" priority="2951"/>
  </conditionalFormatting>
  <conditionalFormatting sqref="B535">
    <cfRule type="duplicateValues" dxfId="0" priority="3139"/>
  </conditionalFormatting>
  <conditionalFormatting sqref="C535">
    <cfRule type="duplicateValues" dxfId="0" priority="3039"/>
  </conditionalFormatting>
  <conditionalFormatting sqref="A536">
    <cfRule type="duplicateValues" dxfId="0" priority="2982"/>
  </conditionalFormatting>
  <conditionalFormatting sqref="B536">
    <cfRule type="duplicateValues" dxfId="0" priority="3163"/>
  </conditionalFormatting>
  <conditionalFormatting sqref="C536">
    <cfRule type="duplicateValues" dxfId="0" priority="3063"/>
  </conditionalFormatting>
  <conditionalFormatting sqref="A537">
    <cfRule type="duplicateValues" dxfId="0" priority="2950"/>
  </conditionalFormatting>
  <conditionalFormatting sqref="B537">
    <cfRule type="duplicateValues" dxfId="0" priority="3138"/>
  </conditionalFormatting>
  <conditionalFormatting sqref="C537">
    <cfRule type="duplicateValues" dxfId="0" priority="3038"/>
  </conditionalFormatting>
  <conditionalFormatting sqref="A538">
    <cfRule type="duplicateValues" dxfId="0" priority="2981"/>
  </conditionalFormatting>
  <conditionalFormatting sqref="B538">
    <cfRule type="duplicateValues" dxfId="0" priority="3162"/>
  </conditionalFormatting>
  <conditionalFormatting sqref="C538">
    <cfRule type="duplicateValues" dxfId="0" priority="3062"/>
  </conditionalFormatting>
  <conditionalFormatting sqref="A539">
    <cfRule type="duplicateValues" dxfId="0" priority="2949"/>
  </conditionalFormatting>
  <conditionalFormatting sqref="B539">
    <cfRule type="duplicateValues" dxfId="0" priority="3137"/>
  </conditionalFormatting>
  <conditionalFormatting sqref="C539">
    <cfRule type="duplicateValues" dxfId="0" priority="3037"/>
  </conditionalFormatting>
  <conditionalFormatting sqref="A540">
    <cfRule type="duplicateValues" dxfId="0" priority="2980"/>
  </conditionalFormatting>
  <conditionalFormatting sqref="B540">
    <cfRule type="duplicateValues" dxfId="0" priority="3161"/>
  </conditionalFormatting>
  <conditionalFormatting sqref="C540">
    <cfRule type="duplicateValues" dxfId="0" priority="3061"/>
  </conditionalFormatting>
  <conditionalFormatting sqref="A541">
    <cfRule type="duplicateValues" dxfId="0" priority="2948"/>
  </conditionalFormatting>
  <conditionalFormatting sqref="B541">
    <cfRule type="duplicateValues" dxfId="0" priority="3136"/>
  </conditionalFormatting>
  <conditionalFormatting sqref="C541">
    <cfRule type="duplicateValues" dxfId="0" priority="3036"/>
  </conditionalFormatting>
  <conditionalFormatting sqref="A542">
    <cfRule type="duplicateValues" dxfId="0" priority="2979"/>
  </conditionalFormatting>
  <conditionalFormatting sqref="B542">
    <cfRule type="duplicateValues" dxfId="0" priority="3160"/>
  </conditionalFormatting>
  <conditionalFormatting sqref="C542">
    <cfRule type="duplicateValues" dxfId="0" priority="3060"/>
  </conditionalFormatting>
  <conditionalFormatting sqref="A543">
    <cfRule type="duplicateValues" dxfId="0" priority="2947"/>
  </conditionalFormatting>
  <conditionalFormatting sqref="B543">
    <cfRule type="duplicateValues" dxfId="0" priority="3135"/>
  </conditionalFormatting>
  <conditionalFormatting sqref="C543">
    <cfRule type="duplicateValues" dxfId="0" priority="3035"/>
  </conditionalFormatting>
  <conditionalFormatting sqref="A544">
    <cfRule type="duplicateValues" dxfId="0" priority="2978"/>
  </conditionalFormatting>
  <conditionalFormatting sqref="B544">
    <cfRule type="duplicateValues" dxfId="0" priority="3159"/>
  </conditionalFormatting>
  <conditionalFormatting sqref="C544">
    <cfRule type="duplicateValues" dxfId="0" priority="3059"/>
  </conditionalFormatting>
  <conditionalFormatting sqref="A545">
    <cfRule type="duplicateValues" dxfId="0" priority="2946"/>
  </conditionalFormatting>
  <conditionalFormatting sqref="B545">
    <cfRule type="duplicateValues" dxfId="0" priority="3134"/>
  </conditionalFormatting>
  <conditionalFormatting sqref="C545">
    <cfRule type="duplicateValues" dxfId="0" priority="3034"/>
  </conditionalFormatting>
  <conditionalFormatting sqref="A546">
    <cfRule type="duplicateValues" dxfId="0" priority="2977"/>
  </conditionalFormatting>
  <conditionalFormatting sqref="B546">
    <cfRule type="duplicateValues" dxfId="0" priority="3158"/>
  </conditionalFormatting>
  <conditionalFormatting sqref="C546">
    <cfRule type="duplicateValues" dxfId="0" priority="3058"/>
  </conditionalFormatting>
  <conditionalFormatting sqref="A547">
    <cfRule type="duplicateValues" dxfId="0" priority="2945"/>
  </conditionalFormatting>
  <conditionalFormatting sqref="B547">
    <cfRule type="duplicateValues" dxfId="0" priority="3133"/>
  </conditionalFormatting>
  <conditionalFormatting sqref="C547">
    <cfRule type="duplicateValues" dxfId="0" priority="3033"/>
  </conditionalFormatting>
  <conditionalFormatting sqref="A548">
    <cfRule type="duplicateValues" dxfId="0" priority="2976"/>
  </conditionalFormatting>
  <conditionalFormatting sqref="B548">
    <cfRule type="duplicateValues" dxfId="0" priority="3157"/>
  </conditionalFormatting>
  <conditionalFormatting sqref="C548">
    <cfRule type="duplicateValues" dxfId="0" priority="3057"/>
  </conditionalFormatting>
  <conditionalFormatting sqref="A549">
    <cfRule type="duplicateValues" dxfId="0" priority="2944"/>
  </conditionalFormatting>
  <conditionalFormatting sqref="B549">
    <cfRule type="duplicateValues" dxfId="0" priority="3132"/>
  </conditionalFormatting>
  <conditionalFormatting sqref="C549">
    <cfRule type="duplicateValues" dxfId="0" priority="3032"/>
  </conditionalFormatting>
  <conditionalFormatting sqref="A550">
    <cfRule type="duplicateValues" dxfId="0" priority="2975"/>
  </conditionalFormatting>
  <conditionalFormatting sqref="B550">
    <cfRule type="duplicateValues" dxfId="0" priority="3156"/>
  </conditionalFormatting>
  <conditionalFormatting sqref="C550">
    <cfRule type="duplicateValues" dxfId="0" priority="3056"/>
  </conditionalFormatting>
  <conditionalFormatting sqref="A551">
    <cfRule type="duplicateValues" dxfId="0" priority="2668"/>
  </conditionalFormatting>
  <conditionalFormatting sqref="B551">
    <cfRule type="duplicateValues" dxfId="0" priority="2682"/>
  </conditionalFormatting>
  <conditionalFormatting sqref="C551">
    <cfRule type="duplicateValues" dxfId="0" priority="2675"/>
  </conditionalFormatting>
  <conditionalFormatting sqref="A552">
    <cfRule type="duplicateValues" dxfId="0" priority="2638"/>
  </conditionalFormatting>
  <conditionalFormatting sqref="B552">
    <cfRule type="duplicateValues" dxfId="0" priority="2644"/>
  </conditionalFormatting>
  <conditionalFormatting sqref="C552">
    <cfRule type="duplicateValues" dxfId="0" priority="2641"/>
  </conditionalFormatting>
  <conditionalFormatting sqref="A553">
    <cfRule type="duplicateValues" dxfId="0" priority="2614"/>
  </conditionalFormatting>
  <conditionalFormatting sqref="B553">
    <cfRule type="duplicateValues" dxfId="0" priority="2620"/>
  </conditionalFormatting>
  <conditionalFormatting sqref="C553">
    <cfRule type="duplicateValues" dxfId="0" priority="2617"/>
  </conditionalFormatting>
  <conditionalFormatting sqref="A554">
    <cfRule type="duplicateValues" dxfId="0" priority="2637"/>
  </conditionalFormatting>
  <conditionalFormatting sqref="B554">
    <cfRule type="duplicateValues" dxfId="0" priority="2643"/>
  </conditionalFormatting>
  <conditionalFormatting sqref="C554">
    <cfRule type="duplicateValues" dxfId="0" priority="2640"/>
  </conditionalFormatting>
  <conditionalFormatting sqref="A555">
    <cfRule type="duplicateValues" dxfId="0" priority="2613"/>
  </conditionalFormatting>
  <conditionalFormatting sqref="B555">
    <cfRule type="duplicateValues" dxfId="0" priority="2619"/>
  </conditionalFormatting>
  <conditionalFormatting sqref="C555">
    <cfRule type="duplicateValues" dxfId="0" priority="2616"/>
  </conditionalFormatting>
  <conditionalFormatting sqref="A565">
    <cfRule type="duplicateValues" dxfId="0" priority="2612"/>
  </conditionalFormatting>
  <conditionalFormatting sqref="B565">
    <cfRule type="duplicateValues" dxfId="0" priority="2618"/>
  </conditionalFormatting>
  <conditionalFormatting sqref="C565">
    <cfRule type="duplicateValues" dxfId="0" priority="2615"/>
  </conditionalFormatting>
  <conditionalFormatting sqref="A575">
    <cfRule type="duplicateValues" dxfId="0" priority="2734"/>
  </conditionalFormatting>
  <conditionalFormatting sqref="A576">
    <cfRule type="duplicateValues" dxfId="0" priority="2725"/>
  </conditionalFormatting>
  <conditionalFormatting sqref="A577">
    <cfRule type="duplicateValues" dxfId="0" priority="2712"/>
  </conditionalFormatting>
  <conditionalFormatting sqref="A579">
    <cfRule type="duplicateValues" dxfId="0" priority="2737"/>
  </conditionalFormatting>
  <conditionalFormatting sqref="A580">
    <cfRule type="duplicateValues" dxfId="0" priority="2707"/>
  </conditionalFormatting>
  <conditionalFormatting sqref="A3:A4">
    <cfRule type="duplicateValues" dxfId="1" priority="252"/>
    <cfRule type="duplicateValues" dxfId="0" priority="63"/>
  </conditionalFormatting>
  <conditionalFormatting sqref="A5:A6">
    <cfRule type="duplicateValues" dxfId="1" priority="251"/>
    <cfRule type="duplicateValues" dxfId="0" priority="62"/>
  </conditionalFormatting>
  <conditionalFormatting sqref="A7:A8">
    <cfRule type="duplicateValues" dxfId="1" priority="250"/>
    <cfRule type="duplicateValues" dxfId="0" priority="61"/>
  </conditionalFormatting>
  <conditionalFormatting sqref="A9:A10">
    <cfRule type="duplicateValues" dxfId="1" priority="249"/>
    <cfRule type="duplicateValues" dxfId="0" priority="60"/>
  </conditionalFormatting>
  <conditionalFormatting sqref="A11:A12">
    <cfRule type="duplicateValues" dxfId="1" priority="248"/>
    <cfRule type="duplicateValues" dxfId="0" priority="59"/>
  </conditionalFormatting>
  <conditionalFormatting sqref="A13:A14">
    <cfRule type="duplicateValues" dxfId="1" priority="247"/>
    <cfRule type="duplicateValues" dxfId="0" priority="58"/>
  </conditionalFormatting>
  <conditionalFormatting sqref="A15:A16">
    <cfRule type="duplicateValues" dxfId="1" priority="246"/>
    <cfRule type="duplicateValues" dxfId="0" priority="57"/>
  </conditionalFormatting>
  <conditionalFormatting sqref="A17:A18">
    <cfRule type="duplicateValues" dxfId="1" priority="245"/>
    <cfRule type="duplicateValues" dxfId="0" priority="56"/>
  </conditionalFormatting>
  <conditionalFormatting sqref="A19:A20">
    <cfRule type="duplicateValues" dxfId="1" priority="244"/>
    <cfRule type="duplicateValues" dxfId="0" priority="55"/>
  </conditionalFormatting>
  <conditionalFormatting sqref="A21:A22">
    <cfRule type="duplicateValues" dxfId="1" priority="243"/>
    <cfRule type="duplicateValues" dxfId="0" priority="54"/>
  </conditionalFormatting>
  <conditionalFormatting sqref="A23:A24">
    <cfRule type="duplicateValues" dxfId="1" priority="242"/>
    <cfRule type="duplicateValues" dxfId="0" priority="53"/>
  </conditionalFormatting>
  <conditionalFormatting sqref="A25:A26">
    <cfRule type="duplicateValues" dxfId="1" priority="241"/>
    <cfRule type="duplicateValues" dxfId="0" priority="52"/>
  </conditionalFormatting>
  <conditionalFormatting sqref="A27:A28">
    <cfRule type="duplicateValues" dxfId="1" priority="240"/>
    <cfRule type="duplicateValues" dxfId="0" priority="51"/>
  </conditionalFormatting>
  <conditionalFormatting sqref="A29:A30">
    <cfRule type="duplicateValues" dxfId="1" priority="239"/>
    <cfRule type="duplicateValues" dxfId="0" priority="50"/>
  </conditionalFormatting>
  <conditionalFormatting sqref="A31:A32">
    <cfRule type="duplicateValues" dxfId="1" priority="238"/>
    <cfRule type="duplicateValues" dxfId="0" priority="49"/>
  </conditionalFormatting>
  <conditionalFormatting sqref="A33:A34">
    <cfRule type="duplicateValues" dxfId="1" priority="237"/>
    <cfRule type="duplicateValues" dxfId="0" priority="48"/>
  </conditionalFormatting>
  <conditionalFormatting sqref="A35:A36">
    <cfRule type="duplicateValues" dxfId="1" priority="236"/>
    <cfRule type="duplicateValues" dxfId="0" priority="47"/>
  </conditionalFormatting>
  <conditionalFormatting sqref="A37:A38">
    <cfRule type="duplicateValues" dxfId="1" priority="235"/>
    <cfRule type="duplicateValues" dxfId="0" priority="46"/>
  </conditionalFormatting>
  <conditionalFormatting sqref="A39:A40">
    <cfRule type="duplicateValues" dxfId="1" priority="234"/>
    <cfRule type="duplicateValues" dxfId="0" priority="45"/>
  </conditionalFormatting>
  <conditionalFormatting sqref="A41:A42">
    <cfRule type="duplicateValues" dxfId="1" priority="233"/>
    <cfRule type="duplicateValues" dxfId="0" priority="44"/>
  </conditionalFormatting>
  <conditionalFormatting sqref="A43:A44">
    <cfRule type="duplicateValues" dxfId="1" priority="232"/>
    <cfRule type="duplicateValues" dxfId="0" priority="43"/>
  </conditionalFormatting>
  <conditionalFormatting sqref="A45:A46">
    <cfRule type="duplicateValues" dxfId="1" priority="231"/>
    <cfRule type="duplicateValues" dxfId="0" priority="42"/>
  </conditionalFormatting>
  <conditionalFormatting sqref="A47:A48">
    <cfRule type="duplicateValues" dxfId="1" priority="230"/>
    <cfRule type="duplicateValues" dxfId="0" priority="41"/>
  </conditionalFormatting>
  <conditionalFormatting sqref="A49:A50">
    <cfRule type="duplicateValues" dxfId="1" priority="229"/>
    <cfRule type="duplicateValues" dxfId="0" priority="40"/>
  </conditionalFormatting>
  <conditionalFormatting sqref="A51:A52">
    <cfRule type="duplicateValues" dxfId="1" priority="228"/>
    <cfRule type="duplicateValues" dxfId="0" priority="39"/>
  </conditionalFormatting>
  <conditionalFormatting sqref="A53:A54">
    <cfRule type="duplicateValues" dxfId="1" priority="227"/>
    <cfRule type="duplicateValues" dxfId="0" priority="38"/>
  </conditionalFormatting>
  <conditionalFormatting sqref="A55:A56">
    <cfRule type="duplicateValues" dxfId="1" priority="226"/>
    <cfRule type="duplicateValues" dxfId="0" priority="37"/>
  </conditionalFormatting>
  <conditionalFormatting sqref="A57:A58">
    <cfRule type="duplicateValues" dxfId="1" priority="225"/>
    <cfRule type="duplicateValues" dxfId="0" priority="36"/>
  </conditionalFormatting>
  <conditionalFormatting sqref="A59:A60">
    <cfRule type="duplicateValues" dxfId="1" priority="224"/>
    <cfRule type="duplicateValues" dxfId="0" priority="35"/>
  </conditionalFormatting>
  <conditionalFormatting sqref="A61:A62">
    <cfRule type="duplicateValues" dxfId="1" priority="223"/>
    <cfRule type="duplicateValues" dxfId="0" priority="34"/>
  </conditionalFormatting>
  <conditionalFormatting sqref="A63:A64">
    <cfRule type="duplicateValues" dxfId="1" priority="222"/>
    <cfRule type="duplicateValues" dxfId="0" priority="33"/>
  </conditionalFormatting>
  <conditionalFormatting sqref="A65:A66">
    <cfRule type="duplicateValues" dxfId="1" priority="221"/>
    <cfRule type="duplicateValues" dxfId="0" priority="32"/>
  </conditionalFormatting>
  <conditionalFormatting sqref="A67:A68">
    <cfRule type="duplicateValues" dxfId="1" priority="220"/>
    <cfRule type="duplicateValues" dxfId="0" priority="31"/>
  </conditionalFormatting>
  <conditionalFormatting sqref="A69:A70">
    <cfRule type="duplicateValues" dxfId="1" priority="219"/>
    <cfRule type="duplicateValues" dxfId="0" priority="30"/>
  </conditionalFormatting>
  <conditionalFormatting sqref="A71:A72">
    <cfRule type="duplicateValues" dxfId="1" priority="218"/>
    <cfRule type="duplicateValues" dxfId="0" priority="29"/>
  </conditionalFormatting>
  <conditionalFormatting sqref="A73:A74">
    <cfRule type="duplicateValues" dxfId="1" priority="217"/>
    <cfRule type="duplicateValues" dxfId="0" priority="28"/>
  </conditionalFormatting>
  <conditionalFormatting sqref="A75:A76">
    <cfRule type="duplicateValues" dxfId="1" priority="216"/>
    <cfRule type="duplicateValues" dxfId="0" priority="27"/>
  </conditionalFormatting>
  <conditionalFormatting sqref="A77:A78">
    <cfRule type="duplicateValues" dxfId="1" priority="215"/>
    <cfRule type="duplicateValues" dxfId="0" priority="26"/>
  </conditionalFormatting>
  <conditionalFormatting sqref="A79:A80">
    <cfRule type="duplicateValues" dxfId="1" priority="214"/>
    <cfRule type="duplicateValues" dxfId="0" priority="25"/>
  </conditionalFormatting>
  <conditionalFormatting sqref="A81:A82">
    <cfRule type="duplicateValues" dxfId="1" priority="213"/>
    <cfRule type="duplicateValues" dxfId="0" priority="24"/>
  </conditionalFormatting>
  <conditionalFormatting sqref="A83:A84">
    <cfRule type="duplicateValues" dxfId="1" priority="212"/>
    <cfRule type="duplicateValues" dxfId="0" priority="23"/>
  </conditionalFormatting>
  <conditionalFormatting sqref="A85:A86">
    <cfRule type="duplicateValues" dxfId="1" priority="211"/>
    <cfRule type="duplicateValues" dxfId="0" priority="22"/>
  </conditionalFormatting>
  <conditionalFormatting sqref="A87:A88">
    <cfRule type="duplicateValues" dxfId="1" priority="210"/>
    <cfRule type="duplicateValues" dxfId="0" priority="21"/>
  </conditionalFormatting>
  <conditionalFormatting sqref="A89:A90">
    <cfRule type="duplicateValues" dxfId="1" priority="209"/>
    <cfRule type="duplicateValues" dxfId="0" priority="20"/>
  </conditionalFormatting>
  <conditionalFormatting sqref="A91:A92">
    <cfRule type="duplicateValues" dxfId="1" priority="208"/>
    <cfRule type="duplicateValues" dxfId="0" priority="19"/>
  </conditionalFormatting>
  <conditionalFormatting sqref="A93:A94">
    <cfRule type="duplicateValues" dxfId="1" priority="207"/>
    <cfRule type="duplicateValues" dxfId="0" priority="18"/>
  </conditionalFormatting>
  <conditionalFormatting sqref="A95:A96">
    <cfRule type="duplicateValues" dxfId="1" priority="206"/>
    <cfRule type="duplicateValues" dxfId="0" priority="17"/>
  </conditionalFormatting>
  <conditionalFormatting sqref="A97:A98">
    <cfRule type="duplicateValues" dxfId="1" priority="205"/>
    <cfRule type="duplicateValues" dxfId="0" priority="16"/>
  </conditionalFormatting>
  <conditionalFormatting sqref="A99:A100">
    <cfRule type="duplicateValues" dxfId="1" priority="204"/>
    <cfRule type="duplicateValues" dxfId="0" priority="15"/>
  </conditionalFormatting>
  <conditionalFormatting sqref="A101:A102">
    <cfRule type="duplicateValues" dxfId="1" priority="203"/>
    <cfRule type="duplicateValues" dxfId="0" priority="14"/>
  </conditionalFormatting>
  <conditionalFormatting sqref="A103:A104">
    <cfRule type="duplicateValues" dxfId="1" priority="202"/>
    <cfRule type="duplicateValues" dxfId="0" priority="13"/>
  </conditionalFormatting>
  <conditionalFormatting sqref="A105:A106">
    <cfRule type="duplicateValues" dxfId="1" priority="201"/>
    <cfRule type="duplicateValues" dxfId="0" priority="12"/>
  </conditionalFormatting>
  <conditionalFormatting sqref="A107:A108">
    <cfRule type="duplicateValues" dxfId="1" priority="200"/>
    <cfRule type="duplicateValues" dxfId="0" priority="11"/>
  </conditionalFormatting>
  <conditionalFormatting sqref="A109:A110">
    <cfRule type="duplicateValues" dxfId="1" priority="199"/>
    <cfRule type="duplicateValues" dxfId="0" priority="10"/>
  </conditionalFormatting>
  <conditionalFormatting sqref="A111:A112">
    <cfRule type="duplicateValues" dxfId="1" priority="198"/>
    <cfRule type="duplicateValues" dxfId="0" priority="9"/>
  </conditionalFormatting>
  <conditionalFormatting sqref="A113:A114">
    <cfRule type="duplicateValues" dxfId="1" priority="197"/>
    <cfRule type="duplicateValues" dxfId="0" priority="8"/>
  </conditionalFormatting>
  <conditionalFormatting sqref="A115:A116">
    <cfRule type="duplicateValues" dxfId="1" priority="196"/>
    <cfRule type="duplicateValues" dxfId="0" priority="7"/>
  </conditionalFormatting>
  <conditionalFormatting sqref="A117:A118">
    <cfRule type="duplicateValues" dxfId="1" priority="195"/>
    <cfRule type="duplicateValues" dxfId="0" priority="6"/>
  </conditionalFormatting>
  <conditionalFormatting sqref="A119:A120">
    <cfRule type="duplicateValues" dxfId="1" priority="194"/>
    <cfRule type="duplicateValues" dxfId="0" priority="5"/>
  </conditionalFormatting>
  <conditionalFormatting sqref="A121:A122">
    <cfRule type="duplicateValues" dxfId="1" priority="193"/>
    <cfRule type="duplicateValues" dxfId="0" priority="4"/>
  </conditionalFormatting>
  <conditionalFormatting sqref="A123:A124">
    <cfRule type="duplicateValues" dxfId="1" priority="192"/>
    <cfRule type="duplicateValues" dxfId="0" priority="3"/>
  </conditionalFormatting>
  <conditionalFormatting sqref="A125:A126">
    <cfRule type="duplicateValues" dxfId="1" priority="191"/>
    <cfRule type="duplicateValues" dxfId="0" priority="2"/>
  </conditionalFormatting>
  <conditionalFormatting sqref="A127:A128">
    <cfRule type="duplicateValues" dxfId="1" priority="190"/>
    <cfRule type="duplicateValues" dxfId="0" priority="1"/>
  </conditionalFormatting>
  <conditionalFormatting sqref="A130:A131">
    <cfRule type="duplicateValues" dxfId="0" priority="342"/>
    <cfRule type="duplicateValues" dxfId="1" priority="828"/>
  </conditionalFormatting>
  <conditionalFormatting sqref="A132:A133">
    <cfRule type="duplicateValues" dxfId="0" priority="341"/>
    <cfRule type="duplicateValues" dxfId="1" priority="827"/>
  </conditionalFormatting>
  <conditionalFormatting sqref="A134:A135">
    <cfRule type="duplicateValues" dxfId="0" priority="340"/>
    <cfRule type="duplicateValues" dxfId="1" priority="826"/>
  </conditionalFormatting>
  <conditionalFormatting sqref="A136:A137">
    <cfRule type="duplicateValues" dxfId="0" priority="339"/>
    <cfRule type="duplicateValues" dxfId="1" priority="825"/>
  </conditionalFormatting>
  <conditionalFormatting sqref="A138:A139">
    <cfRule type="duplicateValues" dxfId="0" priority="338"/>
    <cfRule type="duplicateValues" dxfId="1" priority="824"/>
  </conditionalFormatting>
  <conditionalFormatting sqref="A140:A141">
    <cfRule type="duplicateValues" dxfId="0" priority="337"/>
    <cfRule type="duplicateValues" dxfId="1" priority="823"/>
  </conditionalFormatting>
  <conditionalFormatting sqref="A142:A143">
    <cfRule type="duplicateValues" dxfId="0" priority="336"/>
    <cfRule type="duplicateValues" dxfId="1" priority="822"/>
  </conditionalFormatting>
  <conditionalFormatting sqref="A144:A145">
    <cfRule type="duplicateValues" dxfId="0" priority="335"/>
    <cfRule type="duplicateValues" dxfId="1" priority="821"/>
  </conditionalFormatting>
  <conditionalFormatting sqref="A146:A147">
    <cfRule type="duplicateValues" dxfId="0" priority="334"/>
    <cfRule type="duplicateValues" dxfId="1" priority="820"/>
  </conditionalFormatting>
  <conditionalFormatting sqref="A148:A149">
    <cfRule type="duplicateValues" dxfId="0" priority="333"/>
    <cfRule type="duplicateValues" dxfId="1" priority="819"/>
  </conditionalFormatting>
  <conditionalFormatting sqref="A150:A151">
    <cfRule type="duplicateValues" dxfId="0" priority="332"/>
    <cfRule type="duplicateValues" dxfId="1" priority="818"/>
  </conditionalFormatting>
  <conditionalFormatting sqref="A152:A153">
    <cfRule type="duplicateValues" dxfId="0" priority="331"/>
    <cfRule type="duplicateValues" dxfId="1" priority="817"/>
  </conditionalFormatting>
  <conditionalFormatting sqref="A154:A155">
    <cfRule type="duplicateValues" dxfId="0" priority="330"/>
    <cfRule type="duplicateValues" dxfId="1" priority="816"/>
  </conditionalFormatting>
  <conditionalFormatting sqref="A156:A157">
    <cfRule type="duplicateValues" dxfId="0" priority="329"/>
    <cfRule type="duplicateValues" dxfId="1" priority="815"/>
  </conditionalFormatting>
  <conditionalFormatting sqref="A158:A159">
    <cfRule type="duplicateValues" dxfId="0" priority="328"/>
    <cfRule type="duplicateValues" dxfId="1" priority="814"/>
  </conditionalFormatting>
  <conditionalFormatting sqref="A160:A161">
    <cfRule type="duplicateValues" dxfId="0" priority="327"/>
    <cfRule type="duplicateValues" dxfId="1" priority="813"/>
  </conditionalFormatting>
  <conditionalFormatting sqref="A162:A163">
    <cfRule type="duplicateValues" dxfId="0" priority="326"/>
    <cfRule type="duplicateValues" dxfId="1" priority="812"/>
  </conditionalFormatting>
  <conditionalFormatting sqref="A164:A165">
    <cfRule type="duplicateValues" dxfId="0" priority="325"/>
    <cfRule type="duplicateValues" dxfId="1" priority="811"/>
  </conditionalFormatting>
  <conditionalFormatting sqref="A166:A167">
    <cfRule type="duplicateValues" dxfId="0" priority="324"/>
    <cfRule type="duplicateValues" dxfId="1" priority="810"/>
  </conditionalFormatting>
  <conditionalFormatting sqref="A168:A169">
    <cfRule type="duplicateValues" dxfId="0" priority="323"/>
    <cfRule type="duplicateValues" dxfId="1" priority="809"/>
  </conditionalFormatting>
  <conditionalFormatting sqref="A170:A171">
    <cfRule type="duplicateValues" dxfId="0" priority="322"/>
    <cfRule type="duplicateValues" dxfId="1" priority="808"/>
  </conditionalFormatting>
  <conditionalFormatting sqref="A172:A173">
    <cfRule type="duplicateValues" dxfId="0" priority="321"/>
    <cfRule type="duplicateValues" dxfId="1" priority="807"/>
  </conditionalFormatting>
  <conditionalFormatting sqref="A174:A175">
    <cfRule type="duplicateValues" dxfId="0" priority="320"/>
    <cfRule type="duplicateValues" dxfId="1" priority="806"/>
  </conditionalFormatting>
  <conditionalFormatting sqref="A176:A177">
    <cfRule type="duplicateValues" dxfId="0" priority="319"/>
    <cfRule type="duplicateValues" dxfId="1" priority="805"/>
  </conditionalFormatting>
  <conditionalFormatting sqref="A178:A179">
    <cfRule type="duplicateValues" dxfId="0" priority="318"/>
    <cfRule type="duplicateValues" dxfId="1" priority="804"/>
  </conditionalFormatting>
  <conditionalFormatting sqref="A180:A181">
    <cfRule type="duplicateValues" dxfId="0" priority="317"/>
    <cfRule type="duplicateValues" dxfId="1" priority="803"/>
  </conditionalFormatting>
  <conditionalFormatting sqref="A184:A204">
    <cfRule type="duplicateValues" dxfId="0" priority="6061"/>
  </conditionalFormatting>
  <conditionalFormatting sqref="A206:A357">
    <cfRule type="duplicateValues" dxfId="0" priority="6073"/>
  </conditionalFormatting>
  <conditionalFormatting sqref="A365:A366">
    <cfRule type="duplicateValues" dxfId="0" priority="6071"/>
  </conditionalFormatting>
  <conditionalFormatting sqref="A367:A389">
    <cfRule type="duplicateValues" dxfId="0" priority="6070"/>
  </conditionalFormatting>
  <conditionalFormatting sqref="A391:A392">
    <cfRule type="duplicateValues" dxfId="0" priority="5278"/>
  </conditionalFormatting>
  <conditionalFormatting sqref="A393:A394">
    <cfRule type="duplicateValues" dxfId="0" priority="5277"/>
  </conditionalFormatting>
  <conditionalFormatting sqref="A395:A396">
    <cfRule type="duplicateValues" dxfId="0" priority="5276"/>
  </conditionalFormatting>
  <conditionalFormatting sqref="A397:A398">
    <cfRule type="duplicateValues" dxfId="0" priority="5275"/>
  </conditionalFormatting>
  <conditionalFormatting sqref="A399:A400">
    <cfRule type="duplicateValues" dxfId="0" priority="5274"/>
  </conditionalFormatting>
  <conditionalFormatting sqref="A401:A402">
    <cfRule type="duplicateValues" dxfId="0" priority="5273"/>
  </conditionalFormatting>
  <conditionalFormatting sqref="A403:A404">
    <cfRule type="duplicateValues" dxfId="0" priority="5272"/>
  </conditionalFormatting>
  <conditionalFormatting sqref="A405:A406">
    <cfRule type="duplicateValues" dxfId="0" priority="5271"/>
  </conditionalFormatting>
  <conditionalFormatting sqref="A407:A408">
    <cfRule type="duplicateValues" dxfId="0" priority="5270"/>
  </conditionalFormatting>
  <conditionalFormatting sqref="A409:A410">
    <cfRule type="duplicateValues" dxfId="0" priority="5156"/>
  </conditionalFormatting>
  <conditionalFormatting sqref="A411:A412">
    <cfRule type="duplicateValues" dxfId="0" priority="5149"/>
  </conditionalFormatting>
  <conditionalFormatting sqref="A413:A414">
    <cfRule type="duplicateValues" dxfId="0" priority="5139"/>
  </conditionalFormatting>
  <conditionalFormatting sqref="A415:A416">
    <cfRule type="duplicateValues" dxfId="0" priority="5106"/>
  </conditionalFormatting>
  <conditionalFormatting sqref="A417:A418">
    <cfRule type="duplicateValues" dxfId="0" priority="5105"/>
  </conditionalFormatting>
  <conditionalFormatting sqref="A419:A420">
    <cfRule type="duplicateValues" dxfId="0" priority="5104"/>
  </conditionalFormatting>
  <conditionalFormatting sqref="A425:A426">
    <cfRule type="duplicateValues" dxfId="0" priority="4300"/>
  </conditionalFormatting>
  <conditionalFormatting sqref="A427:A428">
    <cfRule type="duplicateValues" dxfId="0" priority="4299"/>
  </conditionalFormatting>
  <conditionalFormatting sqref="A429:A430">
    <cfRule type="duplicateValues" dxfId="0" priority="4298"/>
  </conditionalFormatting>
  <conditionalFormatting sqref="A431:A432">
    <cfRule type="duplicateValues" dxfId="0" priority="4297"/>
  </conditionalFormatting>
  <conditionalFormatting sqref="A433:A434">
    <cfRule type="duplicateValues" dxfId="0" priority="4296"/>
  </conditionalFormatting>
  <conditionalFormatting sqref="A435:A436">
    <cfRule type="duplicateValues" dxfId="0" priority="4295"/>
  </conditionalFormatting>
  <conditionalFormatting sqref="A437:A438">
    <cfRule type="duplicateValues" dxfId="0" priority="4294"/>
  </conditionalFormatting>
  <conditionalFormatting sqref="A439:A441">
    <cfRule type="duplicateValues" dxfId="0" priority="4293"/>
  </conditionalFormatting>
  <conditionalFormatting sqref="A440:A441">
    <cfRule type="duplicateValues" dxfId="0" priority="4482"/>
  </conditionalFormatting>
  <conditionalFormatting sqref="A442:A443">
    <cfRule type="duplicateValues" dxfId="0" priority="4292"/>
  </conditionalFormatting>
  <conditionalFormatting sqref="A444:A445">
    <cfRule type="duplicateValues" dxfId="0" priority="4291"/>
  </conditionalFormatting>
  <conditionalFormatting sqref="A446:A447">
    <cfRule type="duplicateValues" dxfId="0" priority="4290"/>
  </conditionalFormatting>
  <conditionalFormatting sqref="A448:A449">
    <cfRule type="duplicateValues" dxfId="0" priority="4289"/>
  </conditionalFormatting>
  <conditionalFormatting sqref="A450:A451">
    <cfRule type="duplicateValues" dxfId="0" priority="4288"/>
  </conditionalFormatting>
  <conditionalFormatting sqref="A452:A453">
    <cfRule type="duplicateValues" dxfId="0" priority="4287"/>
  </conditionalFormatting>
  <conditionalFormatting sqref="A454:A455">
    <cfRule type="duplicateValues" dxfId="0" priority="4286"/>
  </conditionalFormatting>
  <conditionalFormatting sqref="A456:A457">
    <cfRule type="duplicateValues" dxfId="0" priority="4285"/>
  </conditionalFormatting>
  <conditionalFormatting sqref="A458:A459">
    <cfRule type="duplicateValues" dxfId="0" priority="4284"/>
  </conditionalFormatting>
  <conditionalFormatting sqref="A476:A477">
    <cfRule type="duplicateValues" dxfId="0" priority="3398"/>
  </conditionalFormatting>
  <conditionalFormatting sqref="A478:A479">
    <cfRule type="duplicateValues" dxfId="0" priority="3397"/>
  </conditionalFormatting>
  <conditionalFormatting sqref="A480:A481">
    <cfRule type="duplicateValues" dxfId="0" priority="3396"/>
  </conditionalFormatting>
  <conditionalFormatting sqref="A482:A483">
    <cfRule type="duplicateValues" dxfId="0" priority="3395"/>
  </conditionalFormatting>
  <conditionalFormatting sqref="A484:A485">
    <cfRule type="duplicateValues" dxfId="0" priority="3394"/>
  </conditionalFormatting>
  <conditionalFormatting sqref="A486:A487">
    <cfRule type="duplicateValues" dxfId="0" priority="3393"/>
  </conditionalFormatting>
  <conditionalFormatting sqref="A489:A550">
    <cfRule type="duplicateValues" dxfId="0" priority="2879"/>
  </conditionalFormatting>
  <conditionalFormatting sqref="A556:A564">
    <cfRule type="duplicateValues" dxfId="0" priority="2636"/>
  </conditionalFormatting>
  <conditionalFormatting sqref="A566:A567">
    <cfRule type="duplicateValues" dxfId="0" priority="2698"/>
  </conditionalFormatting>
  <conditionalFormatting sqref="A572:A574">
    <cfRule type="duplicateValues" dxfId="0" priority="2877"/>
  </conditionalFormatting>
  <conditionalFormatting sqref="B3:B4">
    <cfRule type="duplicateValues" dxfId="1" priority="315"/>
    <cfRule type="duplicateValues" dxfId="0" priority="189"/>
  </conditionalFormatting>
  <conditionalFormatting sqref="B5:B6">
    <cfRule type="duplicateValues" dxfId="1" priority="314"/>
    <cfRule type="duplicateValues" dxfId="0" priority="188"/>
  </conditionalFormatting>
  <conditionalFormatting sqref="B7:B8">
    <cfRule type="duplicateValues" dxfId="1" priority="313"/>
    <cfRule type="duplicateValues" dxfId="0" priority="187"/>
  </conditionalFormatting>
  <conditionalFormatting sqref="B9:B10">
    <cfRule type="duplicateValues" dxfId="1" priority="312"/>
    <cfRule type="duplicateValues" dxfId="0" priority="186"/>
  </conditionalFormatting>
  <conditionalFormatting sqref="B11:B12">
    <cfRule type="duplicateValues" dxfId="1" priority="311"/>
    <cfRule type="duplicateValues" dxfId="0" priority="185"/>
  </conditionalFormatting>
  <conditionalFormatting sqref="B13:B14">
    <cfRule type="duplicateValues" dxfId="1" priority="310"/>
    <cfRule type="duplicateValues" dxfId="0" priority="184"/>
  </conditionalFormatting>
  <conditionalFormatting sqref="B15:B16">
    <cfRule type="duplicateValues" dxfId="1" priority="309"/>
    <cfRule type="duplicateValues" dxfId="0" priority="183"/>
  </conditionalFormatting>
  <conditionalFormatting sqref="B17:B18">
    <cfRule type="duplicateValues" dxfId="1" priority="308"/>
    <cfRule type="duplicateValues" dxfId="0" priority="182"/>
  </conditionalFormatting>
  <conditionalFormatting sqref="B19:B20">
    <cfRule type="duplicateValues" dxfId="1" priority="307"/>
    <cfRule type="duplicateValues" dxfId="0" priority="181"/>
  </conditionalFormatting>
  <conditionalFormatting sqref="B21:B22">
    <cfRule type="duplicateValues" dxfId="1" priority="306"/>
    <cfRule type="duplicateValues" dxfId="0" priority="180"/>
  </conditionalFormatting>
  <conditionalFormatting sqref="B23:B24">
    <cfRule type="duplicateValues" dxfId="1" priority="305"/>
    <cfRule type="duplicateValues" dxfId="0" priority="179"/>
  </conditionalFormatting>
  <conditionalFormatting sqref="B25:B26">
    <cfRule type="duplicateValues" dxfId="1" priority="304"/>
    <cfRule type="duplicateValues" dxfId="0" priority="178"/>
  </conditionalFormatting>
  <conditionalFormatting sqref="B27:B28">
    <cfRule type="duplicateValues" dxfId="1" priority="303"/>
    <cfRule type="duplicateValues" dxfId="0" priority="177"/>
  </conditionalFormatting>
  <conditionalFormatting sqref="B29:B30">
    <cfRule type="duplicateValues" dxfId="1" priority="302"/>
    <cfRule type="duplicateValues" dxfId="0" priority="176"/>
  </conditionalFormatting>
  <conditionalFormatting sqref="B31:B32">
    <cfRule type="duplicateValues" dxfId="1" priority="301"/>
    <cfRule type="duplicateValues" dxfId="0" priority="175"/>
  </conditionalFormatting>
  <conditionalFormatting sqref="B33:B34">
    <cfRule type="duplicateValues" dxfId="1" priority="300"/>
    <cfRule type="duplicateValues" dxfId="0" priority="174"/>
  </conditionalFormatting>
  <conditionalFormatting sqref="B35:B36">
    <cfRule type="duplicateValues" dxfId="1" priority="299"/>
    <cfRule type="duplicateValues" dxfId="0" priority="173"/>
  </conditionalFormatting>
  <conditionalFormatting sqref="B37:B38">
    <cfRule type="duplicateValues" dxfId="1" priority="298"/>
    <cfRule type="duplicateValues" dxfId="0" priority="172"/>
  </conditionalFormatting>
  <conditionalFormatting sqref="B39:B40">
    <cfRule type="duplicateValues" dxfId="1" priority="297"/>
    <cfRule type="duplicateValues" dxfId="0" priority="171"/>
  </conditionalFormatting>
  <conditionalFormatting sqref="B41:B42">
    <cfRule type="duplicateValues" dxfId="1" priority="296"/>
    <cfRule type="duplicateValues" dxfId="0" priority="170"/>
  </conditionalFormatting>
  <conditionalFormatting sqref="B43:B44">
    <cfRule type="duplicateValues" dxfId="1" priority="295"/>
    <cfRule type="duplicateValues" dxfId="0" priority="169"/>
  </conditionalFormatting>
  <conditionalFormatting sqref="B45:B46">
    <cfRule type="duplicateValues" dxfId="1" priority="294"/>
    <cfRule type="duplicateValues" dxfId="0" priority="168"/>
  </conditionalFormatting>
  <conditionalFormatting sqref="B47:B48">
    <cfRule type="duplicateValues" dxfId="1" priority="293"/>
    <cfRule type="duplicateValues" dxfId="0" priority="167"/>
  </conditionalFormatting>
  <conditionalFormatting sqref="B49:B50">
    <cfRule type="duplicateValues" dxfId="1" priority="292"/>
    <cfRule type="duplicateValues" dxfId="0" priority="166"/>
  </conditionalFormatting>
  <conditionalFormatting sqref="B51:B52">
    <cfRule type="duplicateValues" dxfId="1" priority="291"/>
    <cfRule type="duplicateValues" dxfId="0" priority="165"/>
  </conditionalFormatting>
  <conditionalFormatting sqref="B53:B54">
    <cfRule type="duplicateValues" dxfId="1" priority="290"/>
    <cfRule type="duplicateValues" dxfId="0" priority="164"/>
  </conditionalFormatting>
  <conditionalFormatting sqref="B55:B56">
    <cfRule type="duplicateValues" dxfId="1" priority="289"/>
    <cfRule type="duplicateValues" dxfId="0" priority="163"/>
  </conditionalFormatting>
  <conditionalFormatting sqref="B57:B58">
    <cfRule type="duplicateValues" dxfId="1" priority="288"/>
    <cfRule type="duplicateValues" dxfId="0" priority="162"/>
  </conditionalFormatting>
  <conditionalFormatting sqref="B59:B60">
    <cfRule type="duplicateValues" dxfId="1" priority="287"/>
    <cfRule type="duplicateValues" dxfId="0" priority="161"/>
  </conditionalFormatting>
  <conditionalFormatting sqref="B61:B62">
    <cfRule type="duplicateValues" dxfId="1" priority="286"/>
    <cfRule type="duplicateValues" dxfId="0" priority="160"/>
  </conditionalFormatting>
  <conditionalFormatting sqref="B63:B64">
    <cfRule type="duplicateValues" dxfId="1" priority="285"/>
    <cfRule type="duplicateValues" dxfId="0" priority="159"/>
  </conditionalFormatting>
  <conditionalFormatting sqref="B65:B66">
    <cfRule type="duplicateValues" dxfId="1" priority="284"/>
    <cfRule type="duplicateValues" dxfId="0" priority="158"/>
  </conditionalFormatting>
  <conditionalFormatting sqref="B67:B68">
    <cfRule type="duplicateValues" dxfId="1" priority="283"/>
    <cfRule type="duplicateValues" dxfId="0" priority="157"/>
  </conditionalFormatting>
  <conditionalFormatting sqref="B69:B70">
    <cfRule type="duplicateValues" dxfId="1" priority="282"/>
    <cfRule type="duplicateValues" dxfId="0" priority="156"/>
  </conditionalFormatting>
  <conditionalFormatting sqref="B71:B72">
    <cfRule type="duplicateValues" dxfId="1" priority="281"/>
    <cfRule type="duplicateValues" dxfId="0" priority="155"/>
  </conditionalFormatting>
  <conditionalFormatting sqref="B73:B74">
    <cfRule type="duplicateValues" dxfId="1" priority="280"/>
    <cfRule type="duplicateValues" dxfId="0" priority="154"/>
  </conditionalFormatting>
  <conditionalFormatting sqref="B75:B76">
    <cfRule type="duplicateValues" dxfId="1" priority="279"/>
    <cfRule type="duplicateValues" dxfId="0" priority="153"/>
  </conditionalFormatting>
  <conditionalFormatting sqref="B77:B78">
    <cfRule type="duplicateValues" dxfId="1" priority="278"/>
    <cfRule type="duplicateValues" dxfId="0" priority="152"/>
  </conditionalFormatting>
  <conditionalFormatting sqref="B79:B80">
    <cfRule type="duplicateValues" dxfId="1" priority="277"/>
    <cfRule type="duplicateValues" dxfId="0" priority="151"/>
  </conditionalFormatting>
  <conditionalFormatting sqref="B81:B82">
    <cfRule type="duplicateValues" dxfId="1" priority="276"/>
    <cfRule type="duplicateValues" dxfId="0" priority="150"/>
  </conditionalFormatting>
  <conditionalFormatting sqref="B83:B84">
    <cfRule type="duplicateValues" dxfId="1" priority="275"/>
    <cfRule type="duplicateValues" dxfId="0" priority="149"/>
  </conditionalFormatting>
  <conditionalFormatting sqref="B85:B86">
    <cfRule type="duplicateValues" dxfId="1" priority="274"/>
    <cfRule type="duplicateValues" dxfId="0" priority="148"/>
  </conditionalFormatting>
  <conditionalFormatting sqref="B87:B88">
    <cfRule type="duplicateValues" dxfId="1" priority="273"/>
    <cfRule type="duplicateValues" dxfId="0" priority="147"/>
  </conditionalFormatting>
  <conditionalFormatting sqref="B89:B90">
    <cfRule type="duplicateValues" dxfId="1" priority="272"/>
    <cfRule type="duplicateValues" dxfId="0" priority="146"/>
  </conditionalFormatting>
  <conditionalFormatting sqref="B91:B92">
    <cfRule type="duplicateValues" dxfId="1" priority="271"/>
    <cfRule type="duplicateValues" dxfId="0" priority="145"/>
  </conditionalFormatting>
  <conditionalFormatting sqref="B93:B94">
    <cfRule type="duplicateValues" dxfId="1" priority="270"/>
    <cfRule type="duplicateValues" dxfId="0" priority="144"/>
  </conditionalFormatting>
  <conditionalFormatting sqref="B95:B96">
    <cfRule type="duplicateValues" dxfId="1" priority="269"/>
    <cfRule type="duplicateValues" dxfId="0" priority="143"/>
  </conditionalFormatting>
  <conditionalFormatting sqref="B97:B98">
    <cfRule type="duplicateValues" dxfId="1" priority="268"/>
    <cfRule type="duplicateValues" dxfId="0" priority="142"/>
  </conditionalFormatting>
  <conditionalFormatting sqref="B99:B100">
    <cfRule type="duplicateValues" dxfId="1" priority="267"/>
    <cfRule type="duplicateValues" dxfId="0" priority="141"/>
  </conditionalFormatting>
  <conditionalFormatting sqref="B101:B102">
    <cfRule type="duplicateValues" dxfId="1" priority="266"/>
    <cfRule type="duplicateValues" dxfId="0" priority="140"/>
  </conditionalFormatting>
  <conditionalFormatting sqref="B103:B104">
    <cfRule type="duplicateValues" dxfId="1" priority="265"/>
    <cfRule type="duplicateValues" dxfId="0" priority="139"/>
  </conditionalFormatting>
  <conditionalFormatting sqref="B105:B106">
    <cfRule type="duplicateValues" dxfId="1" priority="264"/>
    <cfRule type="duplicateValues" dxfId="0" priority="138"/>
  </conditionalFormatting>
  <conditionalFormatting sqref="B107:B108">
    <cfRule type="duplicateValues" dxfId="1" priority="263"/>
    <cfRule type="duplicateValues" dxfId="0" priority="137"/>
  </conditionalFormatting>
  <conditionalFormatting sqref="B109:B110">
    <cfRule type="duplicateValues" dxfId="1" priority="262"/>
    <cfRule type="duplicateValues" dxfId="0" priority="136"/>
  </conditionalFormatting>
  <conditionalFormatting sqref="B111:B112">
    <cfRule type="duplicateValues" dxfId="1" priority="261"/>
    <cfRule type="duplicateValues" dxfId="0" priority="135"/>
  </conditionalFormatting>
  <conditionalFormatting sqref="B113:B114">
    <cfRule type="duplicateValues" dxfId="1" priority="260"/>
    <cfRule type="duplicateValues" dxfId="0" priority="134"/>
  </conditionalFormatting>
  <conditionalFormatting sqref="B115:B116">
    <cfRule type="duplicateValues" dxfId="1" priority="259"/>
    <cfRule type="duplicateValues" dxfId="0" priority="133"/>
  </conditionalFormatting>
  <conditionalFormatting sqref="B117:B118">
    <cfRule type="duplicateValues" dxfId="1" priority="258"/>
    <cfRule type="duplicateValues" dxfId="0" priority="132"/>
  </conditionalFormatting>
  <conditionalFormatting sqref="B119:B120">
    <cfRule type="duplicateValues" dxfId="1" priority="257"/>
    <cfRule type="duplicateValues" dxfId="0" priority="131"/>
  </conditionalFormatting>
  <conditionalFormatting sqref="B121:B122">
    <cfRule type="duplicateValues" dxfId="1" priority="256"/>
    <cfRule type="duplicateValues" dxfId="0" priority="130"/>
  </conditionalFormatting>
  <conditionalFormatting sqref="B123:B124">
    <cfRule type="duplicateValues" dxfId="1" priority="255"/>
    <cfRule type="duplicateValues" dxfId="0" priority="129"/>
  </conditionalFormatting>
  <conditionalFormatting sqref="B125:B126">
    <cfRule type="duplicateValues" dxfId="1" priority="254"/>
    <cfRule type="duplicateValues" dxfId="0" priority="128"/>
  </conditionalFormatting>
  <conditionalFormatting sqref="B127:B128">
    <cfRule type="duplicateValues" dxfId="1" priority="253"/>
    <cfRule type="duplicateValues" dxfId="0" priority="127"/>
  </conditionalFormatting>
  <conditionalFormatting sqref="B130:B131">
    <cfRule type="duplicateValues" dxfId="0" priority="504"/>
    <cfRule type="duplicateValues" dxfId="1" priority="855"/>
  </conditionalFormatting>
  <conditionalFormatting sqref="B132:B133">
    <cfRule type="duplicateValues" dxfId="0" priority="503"/>
    <cfRule type="duplicateValues" dxfId="1" priority="854"/>
  </conditionalFormatting>
  <conditionalFormatting sqref="B134:B135">
    <cfRule type="duplicateValues" dxfId="0" priority="502"/>
    <cfRule type="duplicateValues" dxfId="1" priority="853"/>
  </conditionalFormatting>
  <conditionalFormatting sqref="B136:B137">
    <cfRule type="duplicateValues" dxfId="0" priority="501"/>
    <cfRule type="duplicateValues" dxfId="1" priority="852"/>
  </conditionalFormatting>
  <conditionalFormatting sqref="B138:B139">
    <cfRule type="duplicateValues" dxfId="0" priority="500"/>
    <cfRule type="duplicateValues" dxfId="1" priority="851"/>
  </conditionalFormatting>
  <conditionalFormatting sqref="B140:B141">
    <cfRule type="duplicateValues" dxfId="0" priority="499"/>
    <cfRule type="duplicateValues" dxfId="1" priority="850"/>
  </conditionalFormatting>
  <conditionalFormatting sqref="B142:B143">
    <cfRule type="duplicateValues" dxfId="0" priority="498"/>
    <cfRule type="duplicateValues" dxfId="1" priority="849"/>
  </conditionalFormatting>
  <conditionalFormatting sqref="B144:B145">
    <cfRule type="duplicateValues" dxfId="0" priority="497"/>
    <cfRule type="duplicateValues" dxfId="1" priority="848"/>
  </conditionalFormatting>
  <conditionalFormatting sqref="B146:B147">
    <cfRule type="duplicateValues" dxfId="0" priority="496"/>
    <cfRule type="duplicateValues" dxfId="1" priority="847"/>
  </conditionalFormatting>
  <conditionalFormatting sqref="B148:B149">
    <cfRule type="duplicateValues" dxfId="0" priority="495"/>
    <cfRule type="duplicateValues" dxfId="1" priority="846"/>
  </conditionalFormatting>
  <conditionalFormatting sqref="B150:B151">
    <cfRule type="duplicateValues" dxfId="0" priority="494"/>
    <cfRule type="duplicateValues" dxfId="1" priority="845"/>
  </conditionalFormatting>
  <conditionalFormatting sqref="B152:B153">
    <cfRule type="duplicateValues" dxfId="0" priority="493"/>
    <cfRule type="duplicateValues" dxfId="1" priority="844"/>
  </conditionalFormatting>
  <conditionalFormatting sqref="B154:B155">
    <cfRule type="duplicateValues" dxfId="0" priority="492"/>
    <cfRule type="duplicateValues" dxfId="1" priority="843"/>
  </conditionalFormatting>
  <conditionalFormatting sqref="B156:B157">
    <cfRule type="duplicateValues" dxfId="0" priority="491"/>
    <cfRule type="duplicateValues" dxfId="1" priority="842"/>
  </conditionalFormatting>
  <conditionalFormatting sqref="B158:B159">
    <cfRule type="duplicateValues" dxfId="0" priority="490"/>
    <cfRule type="duplicateValues" dxfId="1" priority="841"/>
  </conditionalFormatting>
  <conditionalFormatting sqref="B160:B161">
    <cfRule type="duplicateValues" dxfId="0" priority="489"/>
    <cfRule type="duplicateValues" dxfId="1" priority="840"/>
  </conditionalFormatting>
  <conditionalFormatting sqref="B162:B163">
    <cfRule type="duplicateValues" dxfId="0" priority="488"/>
    <cfRule type="duplicateValues" dxfId="1" priority="839"/>
  </conditionalFormatting>
  <conditionalFormatting sqref="B164:B165">
    <cfRule type="duplicateValues" dxfId="0" priority="487"/>
    <cfRule type="duplicateValues" dxfId="1" priority="838"/>
  </conditionalFormatting>
  <conditionalFormatting sqref="B166:B167">
    <cfRule type="duplicateValues" dxfId="0" priority="486"/>
    <cfRule type="duplicateValues" dxfId="1" priority="837"/>
  </conditionalFormatting>
  <conditionalFormatting sqref="B168:B169">
    <cfRule type="duplicateValues" dxfId="0" priority="485"/>
    <cfRule type="duplicateValues" dxfId="1" priority="836"/>
  </conditionalFormatting>
  <conditionalFormatting sqref="B170:B171">
    <cfRule type="duplicateValues" dxfId="0" priority="484"/>
    <cfRule type="duplicateValues" dxfId="1" priority="835"/>
  </conditionalFormatting>
  <conditionalFormatting sqref="B172:B173">
    <cfRule type="duplicateValues" dxfId="0" priority="483"/>
    <cfRule type="duplicateValues" dxfId="1" priority="834"/>
  </conditionalFormatting>
  <conditionalFormatting sqref="B174:B175">
    <cfRule type="duplicateValues" dxfId="0" priority="482"/>
    <cfRule type="duplicateValues" dxfId="1" priority="833"/>
  </conditionalFormatting>
  <conditionalFormatting sqref="B176:B177">
    <cfRule type="duplicateValues" dxfId="0" priority="481"/>
    <cfRule type="duplicateValues" dxfId="1" priority="832"/>
  </conditionalFormatting>
  <conditionalFormatting sqref="B178:B179">
    <cfRule type="duplicateValues" dxfId="0" priority="480"/>
    <cfRule type="duplicateValues" dxfId="1" priority="831"/>
  </conditionalFormatting>
  <conditionalFormatting sqref="B180:B181">
    <cfRule type="duplicateValues" dxfId="0" priority="479"/>
    <cfRule type="duplicateValues" dxfId="1" priority="830"/>
  </conditionalFormatting>
  <conditionalFormatting sqref="B184:B204">
    <cfRule type="duplicateValues" dxfId="0" priority="6060"/>
  </conditionalFormatting>
  <conditionalFormatting sqref="B206:B357">
    <cfRule type="duplicateValues" dxfId="0" priority="6069"/>
  </conditionalFormatting>
  <conditionalFormatting sqref="B365:B366">
    <cfRule type="duplicateValues" dxfId="0" priority="6067"/>
  </conditionalFormatting>
  <conditionalFormatting sqref="B367:B389">
    <cfRule type="duplicateValues" dxfId="0" priority="6066"/>
  </conditionalFormatting>
  <conditionalFormatting sqref="B440:B441">
    <cfRule type="duplicateValues" dxfId="0" priority="4419"/>
  </conditionalFormatting>
  <conditionalFormatting sqref="B461:B462">
    <cfRule type="duplicateValues" dxfId="0" priority="3756"/>
  </conditionalFormatting>
  <conditionalFormatting sqref="B463:B464">
    <cfRule type="duplicateValues" dxfId="0" priority="3755"/>
  </conditionalFormatting>
  <conditionalFormatting sqref="B465:B466">
    <cfRule type="duplicateValues" dxfId="0" priority="3754"/>
  </conditionalFormatting>
  <conditionalFormatting sqref="B467:B468">
    <cfRule type="duplicateValues" dxfId="0" priority="3753"/>
  </conditionalFormatting>
  <conditionalFormatting sqref="B469:B470">
    <cfRule type="duplicateValues" dxfId="0" priority="3752"/>
  </conditionalFormatting>
  <conditionalFormatting sqref="B471:B472">
    <cfRule type="duplicateValues" dxfId="0" priority="3751"/>
  </conditionalFormatting>
  <conditionalFormatting sqref="B473:B474">
    <cfRule type="duplicateValues" dxfId="0" priority="3750"/>
  </conditionalFormatting>
  <conditionalFormatting sqref="B556:B564">
    <cfRule type="duplicateValues" dxfId="0" priority="2642"/>
  </conditionalFormatting>
  <conditionalFormatting sqref="C3:C4">
    <cfRule type="duplicateValues" dxfId="0" priority="126"/>
  </conditionalFormatting>
  <conditionalFormatting sqref="C5:C6">
    <cfRule type="duplicateValues" dxfId="0" priority="125"/>
  </conditionalFormatting>
  <conditionalFormatting sqref="C7:C8">
    <cfRule type="duplicateValues" dxfId="0" priority="124"/>
  </conditionalFormatting>
  <conditionalFormatting sqref="C9:C10">
    <cfRule type="duplicateValues" dxfId="0" priority="123"/>
  </conditionalFormatting>
  <conditionalFormatting sqref="C11:C12">
    <cfRule type="duplicateValues" dxfId="0" priority="122"/>
  </conditionalFormatting>
  <conditionalFormatting sqref="C13:C14">
    <cfRule type="duplicateValues" dxfId="0" priority="121"/>
  </conditionalFormatting>
  <conditionalFormatting sqref="C15:C16">
    <cfRule type="duplicateValues" dxfId="0" priority="120"/>
  </conditionalFormatting>
  <conditionalFormatting sqref="C17:C18">
    <cfRule type="duplicateValues" dxfId="0" priority="119"/>
  </conditionalFormatting>
  <conditionalFormatting sqref="C19:C20">
    <cfRule type="duplicateValues" dxfId="0" priority="118"/>
  </conditionalFormatting>
  <conditionalFormatting sqref="C21:C22">
    <cfRule type="duplicateValues" dxfId="0" priority="117"/>
  </conditionalFormatting>
  <conditionalFormatting sqref="C23:C24">
    <cfRule type="duplicateValues" dxfId="0" priority="116"/>
  </conditionalFormatting>
  <conditionalFormatting sqref="C25:C26">
    <cfRule type="duplicateValues" dxfId="0" priority="115"/>
  </conditionalFormatting>
  <conditionalFormatting sqref="C27:C28">
    <cfRule type="duplicateValues" dxfId="0" priority="114"/>
  </conditionalFormatting>
  <conditionalFormatting sqref="C29:C30">
    <cfRule type="duplicateValues" dxfId="0" priority="113"/>
  </conditionalFormatting>
  <conditionalFormatting sqref="C31:C32">
    <cfRule type="duplicateValues" dxfId="0" priority="112"/>
  </conditionalFormatting>
  <conditionalFormatting sqref="C33:C34">
    <cfRule type="duplicateValues" dxfId="0" priority="111"/>
  </conditionalFormatting>
  <conditionalFormatting sqref="C35:C36">
    <cfRule type="duplicateValues" dxfId="0" priority="110"/>
  </conditionalFormatting>
  <conditionalFormatting sqref="C37:C38">
    <cfRule type="duplicateValues" dxfId="0" priority="109"/>
  </conditionalFormatting>
  <conditionalFormatting sqref="C39:C40">
    <cfRule type="duplicateValues" dxfId="0" priority="108"/>
  </conditionalFormatting>
  <conditionalFormatting sqref="C41:C42">
    <cfRule type="duplicateValues" dxfId="0" priority="107"/>
  </conditionalFormatting>
  <conditionalFormatting sqref="C43:C44">
    <cfRule type="duplicateValues" dxfId="0" priority="106"/>
  </conditionalFormatting>
  <conditionalFormatting sqref="C45:C46">
    <cfRule type="duplicateValues" dxfId="0" priority="105"/>
  </conditionalFormatting>
  <conditionalFormatting sqref="C47:C48">
    <cfRule type="duplicateValues" dxfId="0" priority="104"/>
  </conditionalFormatting>
  <conditionalFormatting sqref="C49:C50">
    <cfRule type="duplicateValues" dxfId="0" priority="103"/>
  </conditionalFormatting>
  <conditionalFormatting sqref="C51:C52">
    <cfRule type="duplicateValues" dxfId="0" priority="102"/>
  </conditionalFormatting>
  <conditionalFormatting sqref="C53:C54">
    <cfRule type="duplicateValues" dxfId="0" priority="101"/>
  </conditionalFormatting>
  <conditionalFormatting sqref="C55:C56">
    <cfRule type="duplicateValues" dxfId="0" priority="100"/>
  </conditionalFormatting>
  <conditionalFormatting sqref="C57:C58">
    <cfRule type="duplicateValues" dxfId="0" priority="99"/>
  </conditionalFormatting>
  <conditionalFormatting sqref="C59:C60">
    <cfRule type="duplicateValues" dxfId="0" priority="98"/>
  </conditionalFormatting>
  <conditionalFormatting sqref="C61:C62">
    <cfRule type="duplicateValues" dxfId="0" priority="97"/>
  </conditionalFormatting>
  <conditionalFormatting sqref="C63:C64">
    <cfRule type="duplicateValues" dxfId="0" priority="96"/>
  </conditionalFormatting>
  <conditionalFormatting sqref="C65:C66">
    <cfRule type="duplicateValues" dxfId="0" priority="95"/>
  </conditionalFormatting>
  <conditionalFormatting sqref="C67:C68">
    <cfRule type="duplicateValues" dxfId="0" priority="94"/>
  </conditionalFormatting>
  <conditionalFormatting sqref="C69:C70">
    <cfRule type="duplicateValues" dxfId="0" priority="93"/>
  </conditionalFormatting>
  <conditionalFormatting sqref="C71:C72">
    <cfRule type="duplicateValues" dxfId="0" priority="92"/>
  </conditionalFormatting>
  <conditionalFormatting sqref="C73:C74">
    <cfRule type="duplicateValues" dxfId="0" priority="91"/>
  </conditionalFormatting>
  <conditionalFormatting sqref="C75:C76">
    <cfRule type="duplicateValues" dxfId="0" priority="90"/>
  </conditionalFormatting>
  <conditionalFormatting sqref="C77:C78">
    <cfRule type="duplicateValues" dxfId="0" priority="89"/>
  </conditionalFormatting>
  <conditionalFormatting sqref="C79:C80">
    <cfRule type="duplicateValues" dxfId="0" priority="88"/>
  </conditionalFormatting>
  <conditionalFormatting sqref="C81:C82">
    <cfRule type="duplicateValues" dxfId="0" priority="87"/>
  </conditionalFormatting>
  <conditionalFormatting sqref="C83:C84">
    <cfRule type="duplicateValues" dxfId="0" priority="86"/>
  </conditionalFormatting>
  <conditionalFormatting sqref="C85:C86">
    <cfRule type="duplicateValues" dxfId="0" priority="85"/>
  </conditionalFormatting>
  <conditionalFormatting sqref="C87:C88">
    <cfRule type="duplicateValues" dxfId="0" priority="84"/>
  </conditionalFormatting>
  <conditionalFormatting sqref="C89:C90">
    <cfRule type="duplicateValues" dxfId="0" priority="83"/>
  </conditionalFormatting>
  <conditionalFormatting sqref="C91:C92">
    <cfRule type="duplicateValues" dxfId="0" priority="82"/>
  </conditionalFormatting>
  <conditionalFormatting sqref="C93:C94">
    <cfRule type="duplicateValues" dxfId="0" priority="81"/>
  </conditionalFormatting>
  <conditionalFormatting sqref="C95:C96">
    <cfRule type="duplicateValues" dxfId="0" priority="80"/>
  </conditionalFormatting>
  <conditionalFormatting sqref="C97:C98">
    <cfRule type="duplicateValues" dxfId="0" priority="79"/>
  </conditionalFormatting>
  <conditionalFormatting sqref="C99:C100">
    <cfRule type="duplicateValues" dxfId="0" priority="78"/>
  </conditionalFormatting>
  <conditionalFormatting sqref="C101:C102">
    <cfRule type="duplicateValues" dxfId="0" priority="77"/>
  </conditionalFormatting>
  <conditionalFormatting sqref="C103:C104">
    <cfRule type="duplicateValues" dxfId="0" priority="76"/>
  </conditionalFormatting>
  <conditionalFormatting sqref="C105:C106">
    <cfRule type="duplicateValues" dxfId="0" priority="75"/>
  </conditionalFormatting>
  <conditionalFormatting sqref="C107:C108">
    <cfRule type="duplicateValues" dxfId="0" priority="74"/>
  </conditionalFormatting>
  <conditionalFormatting sqref="C109:C110">
    <cfRule type="duplicateValues" dxfId="0" priority="73"/>
  </conditionalFormatting>
  <conditionalFormatting sqref="C111:C112">
    <cfRule type="duplicateValues" dxfId="0" priority="72"/>
  </conditionalFormatting>
  <conditionalFormatting sqref="C113:C114">
    <cfRule type="duplicateValues" dxfId="0" priority="71"/>
  </conditionalFormatting>
  <conditionalFormatting sqref="C115:C116">
    <cfRule type="duplicateValues" dxfId="0" priority="70"/>
  </conditionalFormatting>
  <conditionalFormatting sqref="C117:C118">
    <cfRule type="duplicateValues" dxfId="0" priority="69"/>
  </conditionalFormatting>
  <conditionalFormatting sqref="C119:C120">
    <cfRule type="duplicateValues" dxfId="0" priority="68"/>
  </conditionalFormatting>
  <conditionalFormatting sqref="C121:C122">
    <cfRule type="duplicateValues" dxfId="0" priority="67"/>
  </conditionalFormatting>
  <conditionalFormatting sqref="C123:C124">
    <cfRule type="duplicateValues" dxfId="0" priority="66"/>
  </conditionalFormatting>
  <conditionalFormatting sqref="C125:C126">
    <cfRule type="duplicateValues" dxfId="0" priority="65"/>
  </conditionalFormatting>
  <conditionalFormatting sqref="C127:C128">
    <cfRule type="duplicateValues" dxfId="0" priority="64"/>
  </conditionalFormatting>
  <conditionalFormatting sqref="C130:C131">
    <cfRule type="duplicateValues" dxfId="0" priority="423"/>
  </conditionalFormatting>
  <conditionalFormatting sqref="C132:C133">
    <cfRule type="duplicateValues" dxfId="0" priority="422"/>
  </conditionalFormatting>
  <conditionalFormatting sqref="C134:C135">
    <cfRule type="duplicateValues" dxfId="0" priority="421"/>
  </conditionalFormatting>
  <conditionalFormatting sqref="C136:C137">
    <cfRule type="duplicateValues" dxfId="0" priority="420"/>
  </conditionalFormatting>
  <conditionalFormatting sqref="C138:C139">
    <cfRule type="duplicateValues" dxfId="0" priority="419"/>
  </conditionalFormatting>
  <conditionalFormatting sqref="C140:C141">
    <cfRule type="duplicateValues" dxfId="0" priority="418"/>
  </conditionalFormatting>
  <conditionalFormatting sqref="C142:C143">
    <cfRule type="duplicateValues" dxfId="0" priority="417"/>
  </conditionalFormatting>
  <conditionalFormatting sqref="C144:C145">
    <cfRule type="duplicateValues" dxfId="0" priority="416"/>
  </conditionalFormatting>
  <conditionalFormatting sqref="C146:C147">
    <cfRule type="duplicateValues" dxfId="0" priority="415"/>
  </conditionalFormatting>
  <conditionalFormatting sqref="C148:C149">
    <cfRule type="duplicateValues" dxfId="0" priority="414"/>
  </conditionalFormatting>
  <conditionalFormatting sqref="C150:C151">
    <cfRule type="duplicateValues" dxfId="0" priority="413"/>
  </conditionalFormatting>
  <conditionalFormatting sqref="C152:C153">
    <cfRule type="duplicateValues" dxfId="0" priority="412"/>
  </conditionalFormatting>
  <conditionalFormatting sqref="C154:C155">
    <cfRule type="duplicateValues" dxfId="0" priority="411"/>
  </conditionalFormatting>
  <conditionalFormatting sqref="C156:C157">
    <cfRule type="duplicateValues" dxfId="0" priority="410"/>
  </conditionalFormatting>
  <conditionalFormatting sqref="C158:C159">
    <cfRule type="duplicateValues" dxfId="0" priority="409"/>
  </conditionalFormatting>
  <conditionalFormatting sqref="C160:C161">
    <cfRule type="duplicateValues" dxfId="0" priority="408"/>
  </conditionalFormatting>
  <conditionalFormatting sqref="C162:C163">
    <cfRule type="duplicateValues" dxfId="0" priority="407"/>
  </conditionalFormatting>
  <conditionalFormatting sqref="C164:C165">
    <cfRule type="duplicateValues" dxfId="0" priority="406"/>
  </conditionalFormatting>
  <conditionalFormatting sqref="C166:C167">
    <cfRule type="duplicateValues" dxfId="0" priority="405"/>
  </conditionalFormatting>
  <conditionalFormatting sqref="C168:C169">
    <cfRule type="duplicateValues" dxfId="0" priority="404"/>
  </conditionalFormatting>
  <conditionalFormatting sqref="C170:C171">
    <cfRule type="duplicateValues" dxfId="0" priority="403"/>
  </conditionalFormatting>
  <conditionalFormatting sqref="C172:C173">
    <cfRule type="duplicateValues" dxfId="0" priority="402"/>
  </conditionalFormatting>
  <conditionalFormatting sqref="C174:C175">
    <cfRule type="duplicateValues" dxfId="0" priority="401"/>
  </conditionalFormatting>
  <conditionalFormatting sqref="C176:C177">
    <cfRule type="duplicateValues" dxfId="0" priority="400"/>
  </conditionalFormatting>
  <conditionalFormatting sqref="C178:C179">
    <cfRule type="duplicateValues" dxfId="0" priority="399"/>
  </conditionalFormatting>
  <conditionalFormatting sqref="C180:C181">
    <cfRule type="duplicateValues" dxfId="0" priority="398"/>
  </conditionalFormatting>
  <conditionalFormatting sqref="C184:C204">
    <cfRule type="duplicateValues" dxfId="0" priority="6059"/>
  </conditionalFormatting>
  <conditionalFormatting sqref="C206:C357">
    <cfRule type="duplicateValues" dxfId="0" priority="6065"/>
  </conditionalFormatting>
  <conditionalFormatting sqref="C365:C366">
    <cfRule type="duplicateValues" dxfId="0" priority="6063"/>
  </conditionalFormatting>
  <conditionalFormatting sqref="C422:C423">
    <cfRule type="duplicateValues" dxfId="0" priority="4982"/>
  </conditionalFormatting>
  <conditionalFormatting sqref="C461:C462">
    <cfRule type="duplicateValues" dxfId="0" priority="3774"/>
  </conditionalFormatting>
  <conditionalFormatting sqref="C463:C464">
    <cfRule type="duplicateValues" dxfId="0" priority="3773"/>
  </conditionalFormatting>
  <conditionalFormatting sqref="C465:C466">
    <cfRule type="duplicateValues" dxfId="0" priority="3772"/>
  </conditionalFormatting>
  <conditionalFormatting sqref="C467:C468">
    <cfRule type="duplicateValues" dxfId="0" priority="3771"/>
  </conditionalFormatting>
  <conditionalFormatting sqref="C469:C470">
    <cfRule type="duplicateValues" dxfId="0" priority="3770"/>
  </conditionalFormatting>
  <conditionalFormatting sqref="C471:C472">
    <cfRule type="duplicateValues" dxfId="0" priority="3769"/>
  </conditionalFormatting>
  <conditionalFormatting sqref="C473:C474">
    <cfRule type="duplicateValues" dxfId="0" priority="3768"/>
  </conditionalFormatting>
  <conditionalFormatting sqref="C556:C564">
    <cfRule type="duplicateValues" dxfId="0" priority="2639"/>
  </conditionalFormatting>
  <conditionalFormatting sqref="A1:A2 A129 A183:A361 A363:A408 A568:A571 A581:A1048576">
    <cfRule type="duplicateValues" dxfId="0" priority="5218"/>
  </conditionalFormatting>
  <conditionalFormatting sqref="A1:A2 A129 A183:A475 A568:A571 A581:A1048576">
    <cfRule type="duplicateValues" dxfId="0" priority="3548"/>
  </conditionalFormatting>
  <conditionalFormatting sqref="A1:A2 A129 A183:A408 A568:A571 A581:A1048576">
    <cfRule type="duplicateValues" dxfId="0" priority="5179"/>
  </conditionalFormatting>
  <conditionalFormatting sqref="A1:A2 A129 A183:A550 A568:A574 A581:A1048576">
    <cfRule type="duplicateValues" dxfId="0" priority="2843"/>
  </conditionalFormatting>
  <conditionalFormatting sqref="A1:A2 A129 A183:A361 A363:A390 A568:A571 A581:A1048576">
    <cfRule type="duplicateValues" dxfId="0" priority="5407"/>
  </conditionalFormatting>
  <conditionalFormatting sqref="A1:A2 A129 A183:A414 A568:A571 A581:A1048576">
    <cfRule type="duplicateValues" dxfId="0" priority="5134"/>
  </conditionalFormatting>
  <conditionalFormatting sqref="A1:A2 A129 A183:A550 A568:A1048576">
    <cfRule type="duplicateValues" dxfId="0" priority="2704"/>
  </conditionalFormatting>
  <conditionalFormatting sqref="A1:A2 A129 A183:A424 A568:A571 A581:A1048576">
    <cfRule type="duplicateValues" dxfId="0" priority="4706"/>
  </conditionalFormatting>
  <conditionalFormatting sqref="A1:A2 A129 A183:A488 A568:A571 A581:A1048576">
    <cfRule type="duplicateValues" dxfId="0" priority="3215"/>
  </conditionalFormatting>
  <conditionalFormatting sqref="B1:B2 B129 B183:B460 B568:B1048576">
    <cfRule type="duplicateValues" dxfId="0" priority="3865"/>
  </conditionalFormatting>
  <conditionalFormatting sqref="C1 C568:C1048576">
    <cfRule type="duplicateValues" dxfId="0" priority="6074"/>
  </conditionalFormatting>
  <conditionalFormatting sqref="C1:C2 C129 C183:C421 C568:C1048576">
    <cfRule type="duplicateValues" dxfId="0" priority="5045"/>
  </conditionalFormatting>
  <conditionalFormatting sqref="C1:C2 C129 C183:C460 C568:C1048576">
    <cfRule type="duplicateValues" dxfId="0" priority="3864"/>
  </conditionalFormatting>
  <conditionalFormatting sqref="C1:C2 C129 C183:C361 C363:C389 C568:C1048576">
    <cfRule type="duplicateValues" dxfId="0" priority="5831"/>
  </conditionalFormatting>
  <conditionalFormatting sqref="C1:C2 C129 C183:C440 C442:C460 C568:C1048576">
    <cfRule type="duplicateValues" dxfId="0" priority="4252"/>
  </conditionalFormatting>
  <conditionalFormatting sqref="C1:C2 C129 C183:C489 C568:C1048576">
    <cfRule type="duplicateValues" dxfId="0" priority="3332"/>
  </conditionalFormatting>
  <conditionalFormatting sqref="A358:A361 A363:A364">
    <cfRule type="duplicateValues" dxfId="0" priority="6072"/>
  </conditionalFormatting>
  <conditionalFormatting sqref="B358:B361 B363:B364">
    <cfRule type="duplicateValues" dxfId="0" priority="6068"/>
  </conditionalFormatting>
  <conditionalFormatting sqref="C358:C361 C363:C364">
    <cfRule type="duplicateValues" dxfId="0" priority="6064"/>
  </conditionalFormatting>
  <conditionalFormatting sqref="C367:C387 C389">
    <cfRule type="duplicateValues" dxfId="0" priority="606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D462"/>
  <sheetViews>
    <sheetView zoomScale="115" zoomScaleNormal="115" workbookViewId="0">
      <pane xSplit="1" topLeftCell="B1" activePane="topRight" state="frozen"/>
      <selection/>
      <selection pane="topRight" activeCell="C17" sqref="C17"/>
    </sheetView>
  </sheetViews>
  <sheetFormatPr defaultColWidth="9" defaultRowHeight="13.5" outlineLevelCol="3"/>
  <cols>
    <col min="1" max="1" width="1" style="2" customWidth="1"/>
    <col min="2" max="2" width="44.6333333333333" style="2" customWidth="1"/>
    <col min="3" max="16384" width="9" style="2"/>
  </cols>
  <sheetData>
    <row r="1" ht="15.75" spans="2:2">
      <c r="B1" s="3" t="s">
        <v>2354</v>
      </c>
    </row>
    <row r="2" ht="16.5" spans="2:2">
      <c r="B2" s="4" t="s">
        <v>2355</v>
      </c>
    </row>
    <row r="3" ht="16.5" spans="2:2">
      <c r="B3" s="4" t="s">
        <v>2356</v>
      </c>
    </row>
    <row r="4" ht="16.5" spans="2:2">
      <c r="B4" s="4" t="s">
        <v>2357</v>
      </c>
    </row>
    <row r="5" ht="16.5" spans="2:2">
      <c r="B5" s="4" t="s">
        <v>2358</v>
      </c>
    </row>
    <row r="6" ht="16.5" spans="2:2">
      <c r="B6" s="4" t="s">
        <v>2359</v>
      </c>
    </row>
    <row r="7" ht="16.5" spans="2:2">
      <c r="B7" s="4" t="s">
        <v>2360</v>
      </c>
    </row>
    <row r="8" ht="16.5" spans="2:2">
      <c r="B8" s="4" t="s">
        <v>2361</v>
      </c>
    </row>
    <row r="9" ht="16.5" spans="2:2">
      <c r="B9" s="4" t="s">
        <v>2362</v>
      </c>
    </row>
    <row r="10" ht="16.5" spans="2:2">
      <c r="B10" s="4" t="s">
        <v>1</v>
      </c>
    </row>
    <row r="11" ht="16.5" spans="2:2">
      <c r="B11" s="4" t="s">
        <v>2363</v>
      </c>
    </row>
    <row r="12" ht="16.5" spans="2:2">
      <c r="B12" s="4" t="s">
        <v>2364</v>
      </c>
    </row>
    <row r="13" ht="16.5" spans="2:2">
      <c r="B13" s="4" t="s">
        <v>2365</v>
      </c>
    </row>
    <row r="14" ht="15" customHeight="1" spans="2:2">
      <c r="B14" s="4" t="s">
        <v>2366</v>
      </c>
    </row>
    <row r="15" ht="15" customHeight="1" spans="2:2">
      <c r="B15" s="4" t="s">
        <v>2367</v>
      </c>
    </row>
    <row r="16" ht="16.5" spans="2:2">
      <c r="B16" s="4" t="s">
        <v>2368</v>
      </c>
    </row>
    <row r="17" ht="16.5" spans="2:2">
      <c r="B17" s="4" t="s">
        <v>2369</v>
      </c>
    </row>
    <row r="18" ht="16.5" spans="2:2">
      <c r="B18" s="4" t="s">
        <v>2370</v>
      </c>
    </row>
    <row r="19" ht="16.5" spans="2:2">
      <c r="B19" s="5" t="s">
        <v>2371</v>
      </c>
    </row>
    <row r="20" ht="16.5" spans="2:2">
      <c r="B20" s="5" t="s">
        <v>2372</v>
      </c>
    </row>
    <row r="21" ht="16.5" spans="2:2">
      <c r="B21" s="5" t="s">
        <v>2373</v>
      </c>
    </row>
    <row r="22" ht="16.5" spans="2:2">
      <c r="B22" s="5" t="s">
        <v>2374</v>
      </c>
    </row>
    <row r="23" ht="16.5" spans="2:2">
      <c r="B23" s="5" t="s">
        <v>2375</v>
      </c>
    </row>
    <row r="24" ht="16.5" spans="2:2">
      <c r="B24" s="5" t="s">
        <v>2376</v>
      </c>
    </row>
    <row r="25" ht="16.5" spans="2:2">
      <c r="B25" s="5" t="s">
        <v>2377</v>
      </c>
    </row>
    <row r="26" ht="16.5" spans="2:2">
      <c r="B26" s="5" t="s">
        <v>2378</v>
      </c>
    </row>
    <row r="27" ht="16.5" spans="2:2">
      <c r="B27" s="5" t="s">
        <v>2379</v>
      </c>
    </row>
    <row r="28" ht="16.5" spans="2:2">
      <c r="B28" s="5" t="s">
        <v>2380</v>
      </c>
    </row>
    <row r="29" ht="16.5" spans="2:2">
      <c r="B29" s="4" t="s">
        <v>2381</v>
      </c>
    </row>
    <row r="30" customFormat="1" ht="16.5" spans="2:2">
      <c r="B30" s="4" t="s">
        <v>2382</v>
      </c>
    </row>
    <row r="31" customFormat="1" ht="16.5" spans="2:2">
      <c r="B31" s="4" t="s">
        <v>2383</v>
      </c>
    </row>
    <row r="32" customFormat="1" ht="16.5" spans="2:2">
      <c r="B32" s="4" t="s">
        <v>2384</v>
      </c>
    </row>
    <row r="33" customFormat="1" ht="16.5" spans="2:4">
      <c r="B33" s="4" t="s">
        <v>2385</v>
      </c>
    </row>
    <row r="34" s="1" customFormat="1" ht="16.5" spans="2:4">
      <c r="B34" s="4" t="s">
        <v>2386</v>
      </c>
    </row>
    <row r="35" s="1" customFormat="1" ht="16.5" spans="2:4">
      <c r="B35" s="4" t="s">
        <v>2387</v>
      </c>
    </row>
    <row r="36" s="1" customFormat="1" ht="16.5" spans="2:4">
      <c r="B36" s="4" t="s">
        <v>2388</v>
      </c>
      <c r="C36" s="2"/>
      <c r="D36" s="2"/>
    </row>
    <row r="37" ht="16.5" spans="2:4">
      <c r="B37" s="4" t="s">
        <v>2389</v>
      </c>
    </row>
    <row r="38" ht="16.5" spans="2:4">
      <c r="B38" s="4" t="s">
        <v>2390</v>
      </c>
    </row>
    <row r="39" ht="16.5" spans="2:4">
      <c r="B39" s="4" t="s">
        <v>2391</v>
      </c>
    </row>
    <row r="40" ht="16.5" spans="2:4">
      <c r="B40" s="4" t="s">
        <v>2392</v>
      </c>
    </row>
    <row r="41" ht="16.5" spans="2:4">
      <c r="B41" s="4" t="s">
        <v>2393</v>
      </c>
    </row>
    <row r="42" ht="16.5" spans="2:4">
      <c r="B42" s="4" t="s">
        <v>2394</v>
      </c>
    </row>
    <row r="43" ht="16.5" spans="2:4">
      <c r="B43" s="4" t="s">
        <v>2395</v>
      </c>
    </row>
    <row r="44" ht="16.5" spans="2:4">
      <c r="B44" s="4" t="s">
        <v>2396</v>
      </c>
    </row>
    <row r="45" ht="16.5" spans="2:4">
      <c r="B45" s="4" t="s">
        <v>2397</v>
      </c>
    </row>
    <row r="46" ht="16.5" spans="2:4">
      <c r="B46" s="4" t="s">
        <v>2398</v>
      </c>
    </row>
    <row r="47" ht="16.5" spans="2:4">
      <c r="B47" s="4" t="s">
        <v>2399</v>
      </c>
    </row>
    <row r="48" ht="16.5" spans="2:4">
      <c r="B48" s="4" t="s">
        <v>2400</v>
      </c>
    </row>
    <row r="49" ht="16.5" spans="2:2">
      <c r="B49" s="4" t="s">
        <v>2401</v>
      </c>
    </row>
    <row r="50" ht="16.5" spans="2:2">
      <c r="B50" s="4" t="s">
        <v>2402</v>
      </c>
    </row>
    <row r="51" ht="16.5" spans="2:2">
      <c r="B51" s="4" t="s">
        <v>2403</v>
      </c>
    </row>
    <row r="52" ht="16.5" spans="2:2">
      <c r="B52" s="4" t="s">
        <v>2404</v>
      </c>
    </row>
    <row r="53" ht="16.5" spans="2:2">
      <c r="B53" s="4" t="s">
        <v>2405</v>
      </c>
    </row>
    <row r="54" ht="16.5" spans="2:2">
      <c r="B54" s="4" t="s">
        <v>2406</v>
      </c>
    </row>
    <row r="55" ht="16.5" spans="2:2">
      <c r="B55" s="4" t="s">
        <v>2407</v>
      </c>
    </row>
    <row r="56" ht="16.5" spans="2:2">
      <c r="B56" s="4" t="s">
        <v>2408</v>
      </c>
    </row>
    <row r="57" ht="16.5" spans="2:2">
      <c r="B57" s="4" t="s">
        <v>2409</v>
      </c>
    </row>
    <row r="58" ht="16.5" spans="2:2">
      <c r="B58" s="4" t="s">
        <v>2410</v>
      </c>
    </row>
    <row r="59" ht="16.5" spans="2:2">
      <c r="B59" s="6" t="s">
        <v>2411</v>
      </c>
    </row>
    <row r="60" ht="16.5" spans="2:2">
      <c r="B60" s="6" t="s">
        <v>2412</v>
      </c>
    </row>
    <row r="61" ht="16.5" spans="2:2">
      <c r="B61" s="4" t="s">
        <v>2413</v>
      </c>
    </row>
    <row r="62" ht="16.5" spans="2:2">
      <c r="B62" s="6" t="s">
        <v>2414</v>
      </c>
    </row>
    <row r="63" ht="16.5" spans="2:2">
      <c r="B63" s="6" t="s">
        <v>2415</v>
      </c>
    </row>
    <row r="64" ht="16.5" spans="2:2">
      <c r="B64" s="6" t="s">
        <v>2416</v>
      </c>
    </row>
    <row r="65" ht="16.5" spans="2:2">
      <c r="B65" s="6" t="s">
        <v>2417</v>
      </c>
    </row>
    <row r="66" ht="16.5" spans="2:2">
      <c r="B66" s="6" t="s">
        <v>2418</v>
      </c>
    </row>
    <row r="67" ht="16.5" spans="2:2">
      <c r="B67" s="6" t="s">
        <v>2419</v>
      </c>
    </row>
    <row r="68" ht="16.5" spans="2:2">
      <c r="B68" s="6" t="s">
        <v>2420</v>
      </c>
    </row>
    <row r="69" ht="16.5" spans="2:2">
      <c r="B69" s="6" t="s">
        <v>2421</v>
      </c>
    </row>
    <row r="70" ht="16.5" spans="2:2">
      <c r="B70" s="6" t="s">
        <v>2422</v>
      </c>
    </row>
    <row r="71" ht="16.5" spans="2:2">
      <c r="B71" s="6" t="s">
        <v>2423</v>
      </c>
    </row>
    <row r="72" ht="16.5" spans="2:2">
      <c r="B72" s="6" t="s">
        <v>2424</v>
      </c>
    </row>
    <row r="73" ht="16.5" spans="2:2">
      <c r="B73" s="4" t="s">
        <v>2425</v>
      </c>
    </row>
    <row r="74" ht="16.5" spans="2:2">
      <c r="B74" s="4" t="s">
        <v>2426</v>
      </c>
    </row>
    <row r="75" ht="16.5" spans="2:2">
      <c r="B75" s="4" t="s">
        <v>2427</v>
      </c>
    </row>
    <row r="76" ht="16.5" spans="2:2">
      <c r="B76" s="5" t="s">
        <v>2428</v>
      </c>
    </row>
    <row r="77" ht="16.5" spans="2:2">
      <c r="B77" s="5" t="s">
        <v>2429</v>
      </c>
    </row>
    <row r="78" ht="16.5" spans="2:2">
      <c r="B78" s="4" t="s">
        <v>2430</v>
      </c>
    </row>
    <row r="79" ht="16.5" spans="2:2">
      <c r="B79" s="4" t="s">
        <v>2431</v>
      </c>
    </row>
    <row r="80" ht="16.5" spans="2:2">
      <c r="B80" s="4" t="s">
        <v>2432</v>
      </c>
    </row>
    <row r="81" ht="16.5" spans="2:2">
      <c r="B81" s="4" t="s">
        <v>2433</v>
      </c>
    </row>
    <row r="82" ht="16.5" spans="2:2">
      <c r="B82" s="4" t="s">
        <v>2434</v>
      </c>
    </row>
    <row r="83" ht="16.5" spans="2:2">
      <c r="B83" s="4" t="s">
        <v>2435</v>
      </c>
    </row>
    <row r="84" ht="16.5" spans="2:2">
      <c r="B84" s="4" t="s">
        <v>2436</v>
      </c>
    </row>
    <row r="85" ht="16.5" spans="2:2">
      <c r="B85" s="4" t="s">
        <v>2437</v>
      </c>
    </row>
    <row r="86" ht="16.5" spans="2:2">
      <c r="B86" s="4" t="s">
        <v>2438</v>
      </c>
    </row>
    <row r="87" ht="16.5" spans="2:2">
      <c r="B87" s="4" t="s">
        <v>2439</v>
      </c>
    </row>
    <row r="88" ht="16.5" spans="2:2">
      <c r="B88" s="4" t="s">
        <v>2440</v>
      </c>
    </row>
    <row r="89" ht="16.5" spans="2:2">
      <c r="B89" s="4" t="s">
        <v>2441</v>
      </c>
    </row>
    <row r="90" ht="16.5" spans="2:2">
      <c r="B90" s="4" t="s">
        <v>2442</v>
      </c>
    </row>
    <row r="91" ht="16.5" spans="2:2">
      <c r="B91" s="4" t="s">
        <v>2443</v>
      </c>
    </row>
    <row r="92" ht="16.5" spans="2:2">
      <c r="B92" s="4" t="s">
        <v>2444</v>
      </c>
    </row>
    <row r="93" ht="16.5" spans="2:2">
      <c r="B93" s="4" t="s">
        <v>2445</v>
      </c>
    </row>
    <row r="94" ht="16.5" spans="2:2">
      <c r="B94" s="4" t="s">
        <v>2446</v>
      </c>
    </row>
    <row r="95" ht="16.5" spans="2:2">
      <c r="B95" s="4" t="s">
        <v>2447</v>
      </c>
    </row>
    <row r="96" ht="16.5" spans="2:2">
      <c r="B96" s="4" t="s">
        <v>2448</v>
      </c>
    </row>
    <row r="97" ht="16.5" spans="2:2">
      <c r="B97" s="4" t="s">
        <v>2449</v>
      </c>
    </row>
    <row r="98" ht="16.5" spans="2:2">
      <c r="B98" s="4" t="s">
        <v>2450</v>
      </c>
    </row>
    <row r="99" ht="16.5" spans="2:2">
      <c r="B99" s="4" t="s">
        <v>2451</v>
      </c>
    </row>
    <row r="100" ht="16.5" spans="2:2">
      <c r="B100" s="4" t="s">
        <v>2452</v>
      </c>
    </row>
    <row r="101" ht="16.5" spans="2:2">
      <c r="B101" s="4" t="s">
        <v>2453</v>
      </c>
    </row>
    <row r="102" ht="16.5" spans="2:2">
      <c r="B102" s="4" t="s">
        <v>2454</v>
      </c>
    </row>
    <row r="103" ht="16.5" spans="2:2">
      <c r="B103" s="4" t="s">
        <v>2455</v>
      </c>
    </row>
    <row r="104" ht="16.5" spans="2:2">
      <c r="B104" s="4" t="s">
        <v>2456</v>
      </c>
    </row>
    <row r="105" ht="16.5" spans="2:2">
      <c r="B105" s="4" t="s">
        <v>2457</v>
      </c>
    </row>
    <row r="106" ht="16.5" spans="2:2">
      <c r="B106" s="4" t="s">
        <v>2458</v>
      </c>
    </row>
    <row r="107" ht="16.5" spans="2:2">
      <c r="B107" s="4" t="s">
        <v>2459</v>
      </c>
    </row>
    <row r="108" ht="16.5" spans="2:2">
      <c r="B108" s="4" t="s">
        <v>2460</v>
      </c>
    </row>
    <row r="109" ht="16.5" spans="2:2">
      <c r="B109" s="4" t="s">
        <v>2461</v>
      </c>
    </row>
    <row r="110" ht="16.5" spans="2:2">
      <c r="B110" s="4" t="s">
        <v>2462</v>
      </c>
    </row>
    <row r="111" ht="16.5" spans="2:2">
      <c r="B111" s="4" t="s">
        <v>2463</v>
      </c>
    </row>
    <row r="112" ht="16.5" spans="2:2">
      <c r="B112" s="4" t="s">
        <v>2464</v>
      </c>
    </row>
    <row r="113" ht="16.5" spans="2:2">
      <c r="B113" s="4" t="s">
        <v>2465</v>
      </c>
    </row>
    <row r="114" ht="16.5" spans="2:2">
      <c r="B114" s="4" t="s">
        <v>2466</v>
      </c>
    </row>
    <row r="115" ht="16.5" spans="2:2">
      <c r="B115" s="4" t="s">
        <v>2467</v>
      </c>
    </row>
    <row r="116" ht="16.5" spans="2:2">
      <c r="B116" s="4" t="s">
        <v>2468</v>
      </c>
    </row>
    <row r="117" ht="16.5" spans="2:2">
      <c r="B117" s="4" t="s">
        <v>2469</v>
      </c>
    </row>
    <row r="118" ht="16.5" spans="2:2">
      <c r="B118" s="4" t="s">
        <v>2470</v>
      </c>
    </row>
    <row r="119" ht="16.5" spans="2:2">
      <c r="B119" s="4" t="s">
        <v>2471</v>
      </c>
    </row>
    <row r="120" ht="16.5" spans="2:2">
      <c r="B120" s="4" t="s">
        <v>2472</v>
      </c>
    </row>
    <row r="121" ht="16.5" spans="2:2">
      <c r="B121" s="4" t="s">
        <v>2473</v>
      </c>
    </row>
    <row r="122" ht="16.5" spans="2:2">
      <c r="B122" s="4" t="s">
        <v>2474</v>
      </c>
    </row>
    <row r="123" ht="16.5" spans="2:2">
      <c r="B123" s="4" t="s">
        <v>2475</v>
      </c>
    </row>
    <row r="124" ht="16.5" spans="2:2">
      <c r="B124" s="4" t="s">
        <v>2476</v>
      </c>
    </row>
    <row r="125" ht="16.5" spans="2:2">
      <c r="B125" s="4" t="s">
        <v>2477</v>
      </c>
    </row>
    <row r="126" ht="16.5" spans="2:2">
      <c r="B126" s="4" t="s">
        <v>2478</v>
      </c>
    </row>
    <row r="127" ht="16.5" spans="2:2">
      <c r="B127" s="4" t="s">
        <v>2479</v>
      </c>
    </row>
    <row r="128" ht="16.5" spans="2:2">
      <c r="B128" s="4" t="s">
        <v>2480</v>
      </c>
    </row>
    <row r="129" ht="16.5" spans="2:2">
      <c r="B129" s="4" t="s">
        <v>2481</v>
      </c>
    </row>
    <row r="130" ht="16.5" spans="2:2">
      <c r="B130" s="4" t="s">
        <v>2482</v>
      </c>
    </row>
    <row r="131" ht="16.5" spans="2:2">
      <c r="B131" s="4" t="s">
        <v>2483</v>
      </c>
    </row>
    <row r="132" ht="16.5" spans="2:2">
      <c r="B132" s="4" t="s">
        <v>2484</v>
      </c>
    </row>
    <row r="133" ht="16.5" spans="2:2">
      <c r="B133" s="4" t="s">
        <v>2485</v>
      </c>
    </row>
    <row r="134" ht="16.5" spans="2:2">
      <c r="B134" s="4" t="s">
        <v>2486</v>
      </c>
    </row>
    <row r="135" ht="16.5" spans="2:2">
      <c r="B135" s="4" t="s">
        <v>2487</v>
      </c>
    </row>
    <row r="136" ht="16.5" spans="2:2">
      <c r="B136" s="4" t="s">
        <v>2488</v>
      </c>
    </row>
    <row r="137" ht="16.5" spans="2:2">
      <c r="B137" s="4" t="s">
        <v>2489</v>
      </c>
    </row>
    <row r="138" ht="16.5" spans="2:2">
      <c r="B138" s="4" t="s">
        <v>2490</v>
      </c>
    </row>
    <row r="139" ht="16.5" spans="2:2">
      <c r="B139" s="4" t="s">
        <v>2491</v>
      </c>
    </row>
    <row r="140" ht="16.5" spans="2:2">
      <c r="B140" s="4" t="s">
        <v>2492</v>
      </c>
    </row>
    <row r="141" ht="16.5" spans="2:2">
      <c r="B141" s="4" t="s">
        <v>2493</v>
      </c>
    </row>
    <row r="142" ht="16.5" spans="2:2">
      <c r="B142" s="4" t="s">
        <v>2494</v>
      </c>
    </row>
    <row r="143" ht="16.5" spans="2:2">
      <c r="B143" s="4" t="s">
        <v>2495</v>
      </c>
    </row>
    <row r="144" ht="16.5" spans="2:2">
      <c r="B144" s="4" t="s">
        <v>2496</v>
      </c>
    </row>
    <row r="145" ht="16.5" spans="2:2">
      <c r="B145" s="4" t="s">
        <v>2497</v>
      </c>
    </row>
    <row r="146" ht="16.5" spans="2:2">
      <c r="B146" s="4" t="s">
        <v>2498</v>
      </c>
    </row>
    <row r="147" ht="16.5" spans="2:2">
      <c r="B147" s="4" t="s">
        <v>2499</v>
      </c>
    </row>
    <row r="148" ht="16.5" spans="2:2">
      <c r="B148" s="4" t="s">
        <v>2500</v>
      </c>
    </row>
    <row r="149" ht="16.5" spans="2:2">
      <c r="B149" s="4" t="s">
        <v>2501</v>
      </c>
    </row>
    <row r="150" ht="16.5" spans="2:2">
      <c r="B150" s="4" t="s">
        <v>2502</v>
      </c>
    </row>
    <row r="151" ht="14.25" spans="2:2">
      <c r="B151" s="4" t="s">
        <v>2503</v>
      </c>
    </row>
    <row r="152" ht="14.25" spans="2:2">
      <c r="B152" s="4" t="s">
        <v>2504</v>
      </c>
    </row>
    <row r="153" ht="16.5" spans="2:2">
      <c r="B153" s="4" t="s">
        <v>2505</v>
      </c>
    </row>
    <row r="154" ht="16.5" spans="2:2">
      <c r="B154" s="4" t="s">
        <v>2506</v>
      </c>
    </row>
    <row r="155" ht="16.5" spans="2:2">
      <c r="B155" s="4" t="s">
        <v>2507</v>
      </c>
    </row>
    <row r="156" ht="16.5" spans="2:2">
      <c r="B156" s="4" t="s">
        <v>2508</v>
      </c>
    </row>
    <row r="157" ht="16.5" spans="2:2">
      <c r="B157" s="4" t="s">
        <v>2509</v>
      </c>
    </row>
    <row r="158" ht="16.5" spans="2:2">
      <c r="B158" s="4" t="s">
        <v>2510</v>
      </c>
    </row>
    <row r="159" ht="16.5" spans="2:2">
      <c r="B159" s="4" t="s">
        <v>2511</v>
      </c>
    </row>
    <row r="160" ht="16.5" spans="2:2">
      <c r="B160" s="4" t="s">
        <v>2512</v>
      </c>
    </row>
    <row r="161" ht="16.5" spans="2:2">
      <c r="B161" s="4" t="s">
        <v>2513</v>
      </c>
    </row>
    <row r="162" ht="16.5" spans="2:2">
      <c r="B162" s="4" t="s">
        <v>2514</v>
      </c>
    </row>
    <row r="163" ht="16.5" spans="2:2">
      <c r="B163" s="4" t="s">
        <v>2515</v>
      </c>
    </row>
    <row r="164" ht="16.5" spans="2:2">
      <c r="B164" s="4" t="s">
        <v>2516</v>
      </c>
    </row>
    <row r="165" ht="16.5" spans="2:2">
      <c r="B165" s="4" t="s">
        <v>2517</v>
      </c>
    </row>
    <row r="166" ht="16.5" spans="2:2">
      <c r="B166" s="4" t="s">
        <v>2518</v>
      </c>
    </row>
    <row r="167" ht="16.5" spans="2:2">
      <c r="B167" s="4" t="s">
        <v>2519</v>
      </c>
    </row>
    <row r="168" ht="16.5" spans="2:2">
      <c r="B168" s="4" t="s">
        <v>2520</v>
      </c>
    </row>
    <row r="169" ht="16.5" spans="2:2">
      <c r="B169" s="4" t="s">
        <v>2521</v>
      </c>
    </row>
    <row r="170" ht="16.5" spans="2:2">
      <c r="B170" s="4" t="s">
        <v>2522</v>
      </c>
    </row>
    <row r="171" ht="16.5" spans="2:2">
      <c r="B171" s="4" t="s">
        <v>2523</v>
      </c>
    </row>
    <row r="172" ht="16.5" spans="2:2">
      <c r="B172" s="4" t="s">
        <v>2524</v>
      </c>
    </row>
    <row r="173" ht="14.25" spans="2:2">
      <c r="B173" s="4" t="s">
        <v>2525</v>
      </c>
    </row>
    <row r="174" ht="14.25" spans="2:2">
      <c r="B174" s="4" t="s">
        <v>2526</v>
      </c>
    </row>
    <row r="175" ht="16.5" spans="2:2">
      <c r="B175" s="4" t="s">
        <v>2527</v>
      </c>
    </row>
    <row r="176" ht="16.5" spans="2:2">
      <c r="B176" s="4" t="s">
        <v>2528</v>
      </c>
    </row>
    <row r="177" ht="16.5" spans="2:2">
      <c r="B177" s="4" t="s">
        <v>2529</v>
      </c>
    </row>
    <row r="178" ht="16.5" spans="2:2">
      <c r="B178" s="4" t="s">
        <v>2530</v>
      </c>
    </row>
    <row r="179" ht="16.5" spans="2:2">
      <c r="B179" s="4" t="s">
        <v>2531</v>
      </c>
    </row>
    <row r="180" ht="16.5" spans="2:2">
      <c r="B180" s="4" t="s">
        <v>2532</v>
      </c>
    </row>
    <row r="181" ht="16.5" spans="2:2">
      <c r="B181" s="4" t="s">
        <v>2533</v>
      </c>
    </row>
    <row r="182" ht="16.5" spans="2:2">
      <c r="B182" s="4" t="s">
        <v>2534</v>
      </c>
    </row>
    <row r="183" ht="16.5" spans="2:2">
      <c r="B183" s="4" t="s">
        <v>2535</v>
      </c>
    </row>
    <row r="184" ht="16.5" spans="2:2">
      <c r="B184" s="4" t="s">
        <v>2536</v>
      </c>
    </row>
    <row r="185" ht="16.5" spans="2:2">
      <c r="B185" s="4" t="s">
        <v>2537</v>
      </c>
    </row>
    <row r="186" ht="16.5" spans="2:2">
      <c r="B186" s="4" t="s">
        <v>2538</v>
      </c>
    </row>
    <row r="187" ht="16.5" spans="2:2">
      <c r="B187" s="4" t="s">
        <v>2539</v>
      </c>
    </row>
    <row r="188" ht="16.5" spans="2:2">
      <c r="B188" s="4" t="s">
        <v>2540</v>
      </c>
    </row>
    <row r="189" ht="16.5" spans="2:2">
      <c r="B189" s="4" t="s">
        <v>2541</v>
      </c>
    </row>
    <row r="190" ht="16.5" spans="2:2">
      <c r="B190" s="4" t="s">
        <v>2542</v>
      </c>
    </row>
    <row r="191" ht="16.5" spans="2:2">
      <c r="B191" s="4" t="s">
        <v>2543</v>
      </c>
    </row>
    <row r="192" ht="16.5" spans="2:2">
      <c r="B192" s="4" t="s">
        <v>2544</v>
      </c>
    </row>
    <row r="193" ht="16.5" spans="2:2">
      <c r="B193" s="4" t="s">
        <v>2545</v>
      </c>
    </row>
    <row r="194" ht="16.5" spans="2:2">
      <c r="B194" s="4" t="s">
        <v>2546</v>
      </c>
    </row>
    <row r="195" ht="16.5" spans="2:2">
      <c r="B195" s="4" t="s">
        <v>2547</v>
      </c>
    </row>
    <row r="196" ht="16.5" spans="2:2">
      <c r="B196" s="4" t="s">
        <v>2548</v>
      </c>
    </row>
    <row r="197" ht="16.5" spans="2:2">
      <c r="B197" s="4" t="s">
        <v>2549</v>
      </c>
    </row>
    <row r="198" ht="16.5" spans="2:2">
      <c r="B198" s="4" t="s">
        <v>2550</v>
      </c>
    </row>
    <row r="199" ht="16.5" spans="2:2">
      <c r="B199" s="4" t="s">
        <v>2551</v>
      </c>
    </row>
    <row r="200" ht="16.5" spans="2:2">
      <c r="B200" s="4" t="s">
        <v>2552</v>
      </c>
    </row>
    <row r="201" ht="16.5" spans="2:2">
      <c r="B201" s="4" t="s">
        <v>2553</v>
      </c>
    </row>
    <row r="202" ht="16.5" spans="2:2">
      <c r="B202" s="4" t="s">
        <v>2554</v>
      </c>
    </row>
    <row r="203" ht="16.5" spans="2:2">
      <c r="B203" s="4" t="s">
        <v>2555</v>
      </c>
    </row>
    <row r="204" ht="16.5" spans="2:2">
      <c r="B204" s="4" t="s">
        <v>2556</v>
      </c>
    </row>
    <row r="205" ht="16.5" spans="2:2">
      <c r="B205" s="4" t="s">
        <v>2557</v>
      </c>
    </row>
    <row r="206" ht="16.5" spans="2:2">
      <c r="B206" s="4" t="s">
        <v>2558</v>
      </c>
    </row>
    <row r="207" ht="16.5" spans="2:2">
      <c r="B207" s="4" t="s">
        <v>2559</v>
      </c>
    </row>
    <row r="208" ht="16.5" spans="2:2">
      <c r="B208" s="4" t="s">
        <v>2560</v>
      </c>
    </row>
    <row r="209" ht="16.5" spans="2:2">
      <c r="B209" s="4" t="s">
        <v>2561</v>
      </c>
    </row>
    <row r="210" ht="16.5" spans="2:2">
      <c r="B210" s="4" t="s">
        <v>2562</v>
      </c>
    </row>
    <row r="211" ht="16.5" spans="2:2">
      <c r="B211" s="4" t="s">
        <v>2563</v>
      </c>
    </row>
    <row r="212" ht="16.5" spans="2:2">
      <c r="B212" s="4" t="s">
        <v>2564</v>
      </c>
    </row>
    <row r="213" ht="16.5" spans="2:2">
      <c r="B213" s="4" t="s">
        <v>2565</v>
      </c>
    </row>
    <row r="214" ht="16.5" spans="2:2">
      <c r="B214" s="4" t="s">
        <v>2566</v>
      </c>
    </row>
    <row r="215" ht="16.5" spans="2:2">
      <c r="B215" s="4" t="s">
        <v>2567</v>
      </c>
    </row>
    <row r="216" ht="16.5" spans="2:2">
      <c r="B216" s="4" t="s">
        <v>2568</v>
      </c>
    </row>
    <row r="217" ht="16.5" spans="2:2">
      <c r="B217" s="4" t="s">
        <v>2569</v>
      </c>
    </row>
    <row r="218" ht="16.5" spans="2:2">
      <c r="B218" s="4" t="s">
        <v>2570</v>
      </c>
    </row>
    <row r="219" ht="16.5" spans="2:2">
      <c r="B219" s="4" t="s">
        <v>2571</v>
      </c>
    </row>
    <row r="220" ht="16.5" spans="2:2">
      <c r="B220" s="4" t="s">
        <v>2572</v>
      </c>
    </row>
    <row r="221" ht="16.5" spans="2:2">
      <c r="B221" s="4" t="s">
        <v>2573</v>
      </c>
    </row>
    <row r="222" ht="16.5" spans="2:2">
      <c r="B222" s="4" t="s">
        <v>2574</v>
      </c>
    </row>
    <row r="223" ht="16.5" spans="2:2">
      <c r="B223" s="4" t="s">
        <v>2575</v>
      </c>
    </row>
    <row r="224" ht="16.5" spans="2:2">
      <c r="B224" s="4" t="s">
        <v>2576</v>
      </c>
    </row>
    <row r="225" ht="16.5" spans="2:2">
      <c r="B225" s="4" t="s">
        <v>2577</v>
      </c>
    </row>
    <row r="226" ht="16.5" spans="2:2">
      <c r="B226" s="4" t="s">
        <v>2578</v>
      </c>
    </row>
    <row r="227" ht="16.5" spans="2:2">
      <c r="B227" s="4" t="s">
        <v>2579</v>
      </c>
    </row>
    <row r="228" ht="16.5" spans="2:2">
      <c r="B228" s="4" t="s">
        <v>2580</v>
      </c>
    </row>
    <row r="229" ht="16.5" spans="2:2">
      <c r="B229" s="4" t="s">
        <v>2581</v>
      </c>
    </row>
    <row r="230" ht="16.5" spans="2:2">
      <c r="B230" s="4" t="s">
        <v>2582</v>
      </c>
    </row>
    <row r="231" ht="16.5" spans="2:2">
      <c r="B231" s="4" t="s">
        <v>2583</v>
      </c>
    </row>
    <row r="232" ht="16.5" spans="2:2">
      <c r="B232" s="4" t="s">
        <v>2584</v>
      </c>
    </row>
    <row r="233" ht="16.5" spans="2:2">
      <c r="B233" s="4" t="s">
        <v>2585</v>
      </c>
    </row>
    <row r="234" ht="16.5" spans="2:2">
      <c r="B234" s="4" t="s">
        <v>2586</v>
      </c>
    </row>
    <row r="235" ht="16.5" spans="2:2">
      <c r="B235" s="4" t="s">
        <v>2587</v>
      </c>
    </row>
    <row r="236" ht="16.5" spans="2:2">
      <c r="B236" s="4" t="s">
        <v>2588</v>
      </c>
    </row>
    <row r="237" ht="16.5" spans="2:2">
      <c r="B237" s="4" t="s">
        <v>2589</v>
      </c>
    </row>
    <row r="238" ht="16.5" spans="2:2">
      <c r="B238" s="4" t="s">
        <v>2590</v>
      </c>
    </row>
    <row r="239" ht="16.5" spans="2:2">
      <c r="B239" s="4" t="s">
        <v>2591</v>
      </c>
    </row>
    <row r="240" ht="16.5" spans="2:2">
      <c r="B240" s="4" t="s">
        <v>2592</v>
      </c>
    </row>
    <row r="241" ht="16.5" spans="2:2">
      <c r="B241" s="4" t="s">
        <v>2593</v>
      </c>
    </row>
    <row r="242" ht="16.5" spans="2:2">
      <c r="B242" s="4" t="s">
        <v>2594</v>
      </c>
    </row>
    <row r="243" ht="16.5" spans="2:2">
      <c r="B243" s="4" t="s">
        <v>2595</v>
      </c>
    </row>
    <row r="244" ht="16.5" spans="2:2">
      <c r="B244" s="4" t="s">
        <v>2596</v>
      </c>
    </row>
    <row r="245" ht="16.5" spans="2:2">
      <c r="B245" s="4" t="s">
        <v>2597</v>
      </c>
    </row>
    <row r="246" ht="16.5" spans="2:2">
      <c r="B246" s="4" t="s">
        <v>2598</v>
      </c>
    </row>
    <row r="247" ht="16.5" spans="2:2">
      <c r="B247" s="4" t="s">
        <v>2599</v>
      </c>
    </row>
    <row r="248" ht="16.5" spans="2:2">
      <c r="B248" s="4" t="s">
        <v>2600</v>
      </c>
    </row>
    <row r="249" ht="16.5" spans="2:2">
      <c r="B249" s="4" t="s">
        <v>2601</v>
      </c>
    </row>
    <row r="250" ht="16.5" spans="2:2">
      <c r="B250" s="4" t="s">
        <v>2602</v>
      </c>
    </row>
    <row r="251" ht="16.5" spans="2:2">
      <c r="B251" s="4" t="s">
        <v>2603</v>
      </c>
    </row>
    <row r="252" ht="16.5" spans="2:2">
      <c r="B252" s="4" t="s">
        <v>2604</v>
      </c>
    </row>
    <row r="253" ht="16.5" spans="2:2">
      <c r="B253" s="4" t="s">
        <v>2605</v>
      </c>
    </row>
    <row r="254" ht="16.5" spans="2:2">
      <c r="B254" s="4" t="s">
        <v>2606</v>
      </c>
    </row>
    <row r="255" ht="16.5" spans="2:2">
      <c r="B255" s="4" t="s">
        <v>2607</v>
      </c>
    </row>
    <row r="256" ht="16.5" spans="2:2">
      <c r="B256" s="4" t="s">
        <v>2608</v>
      </c>
    </row>
    <row r="257" ht="16.5" spans="2:2">
      <c r="B257" s="4" t="s">
        <v>2609</v>
      </c>
    </row>
    <row r="258" ht="16.5" spans="2:2">
      <c r="B258" s="4" t="s">
        <v>2610</v>
      </c>
    </row>
    <row r="259" ht="16.5" spans="2:2">
      <c r="B259" s="4" t="s">
        <v>2611</v>
      </c>
    </row>
    <row r="260" ht="16.5" spans="2:2">
      <c r="B260" s="4" t="s">
        <v>2612</v>
      </c>
    </row>
    <row r="261" ht="16.5" spans="2:2">
      <c r="B261" s="4" t="s">
        <v>2613</v>
      </c>
    </row>
    <row r="262" ht="16.5" spans="2:2">
      <c r="B262" s="4" t="s">
        <v>2614</v>
      </c>
    </row>
    <row r="263" ht="16.5" spans="2:2">
      <c r="B263" s="4" t="s">
        <v>2615</v>
      </c>
    </row>
    <row r="264" ht="16.5" spans="2:2">
      <c r="B264" s="4" t="s">
        <v>2616</v>
      </c>
    </row>
    <row r="265" ht="16.5" spans="2:2">
      <c r="B265" s="4" t="s">
        <v>2617</v>
      </c>
    </row>
    <row r="266" ht="16.5" spans="2:2">
      <c r="B266" s="4" t="s">
        <v>2618</v>
      </c>
    </row>
    <row r="267" ht="16.5" spans="2:2">
      <c r="B267" s="4" t="s">
        <v>2619</v>
      </c>
    </row>
    <row r="268" ht="16.5" spans="2:2">
      <c r="B268" s="4" t="s">
        <v>2620</v>
      </c>
    </row>
    <row r="269" ht="16.5" spans="2:2">
      <c r="B269" s="4" t="s">
        <v>2621</v>
      </c>
    </row>
    <row r="270" ht="16.5" spans="2:2">
      <c r="B270" s="4" t="s">
        <v>2622</v>
      </c>
    </row>
    <row r="271" ht="16.5" spans="2:2">
      <c r="B271" s="4" t="s">
        <v>2623</v>
      </c>
    </row>
    <row r="272" ht="16.5" spans="2:2">
      <c r="B272" s="4" t="s">
        <v>2624</v>
      </c>
    </row>
    <row r="273" ht="16.5" spans="2:2">
      <c r="B273" s="4" t="s">
        <v>2625</v>
      </c>
    </row>
    <row r="274" ht="16.5" spans="2:2">
      <c r="B274" s="4" t="s">
        <v>2626</v>
      </c>
    </row>
    <row r="275" ht="16.5" spans="2:2">
      <c r="B275" s="4" t="s">
        <v>2627</v>
      </c>
    </row>
    <row r="276" ht="16.5" spans="2:2">
      <c r="B276" s="4" t="s">
        <v>2628</v>
      </c>
    </row>
    <row r="277" ht="16.5" spans="2:2">
      <c r="B277" s="4" t="s">
        <v>2629</v>
      </c>
    </row>
    <row r="278" ht="16.5" spans="2:2">
      <c r="B278" s="4" t="s">
        <v>2630</v>
      </c>
    </row>
    <row r="279" ht="16.5" spans="2:2">
      <c r="B279" s="4" t="s">
        <v>2631</v>
      </c>
    </row>
    <row r="280" ht="16.5" spans="2:2">
      <c r="B280" s="4" t="s">
        <v>2632</v>
      </c>
    </row>
    <row r="281" ht="16.5" spans="2:2">
      <c r="B281" s="4" t="s">
        <v>2633</v>
      </c>
    </row>
    <row r="282" ht="16.5" spans="2:2">
      <c r="B282" s="4" t="s">
        <v>2634</v>
      </c>
    </row>
    <row r="283" ht="16.5" spans="2:2">
      <c r="B283" s="4" t="s">
        <v>2635</v>
      </c>
    </row>
    <row r="284" ht="16.5" spans="2:2">
      <c r="B284" s="4" t="s">
        <v>2636</v>
      </c>
    </row>
    <row r="285" ht="16.5" spans="2:2">
      <c r="B285" s="4" t="s">
        <v>2637</v>
      </c>
    </row>
    <row r="286" ht="16.5" spans="2:2">
      <c r="B286" s="4" t="s">
        <v>2638</v>
      </c>
    </row>
    <row r="287" ht="16.5" spans="2:2">
      <c r="B287" s="4" t="s">
        <v>2639</v>
      </c>
    </row>
    <row r="288" ht="16.5" spans="2:2">
      <c r="B288" s="4" t="s">
        <v>2640</v>
      </c>
    </row>
    <row r="289" ht="16.5" spans="2:2">
      <c r="B289" s="4" t="s">
        <v>2641</v>
      </c>
    </row>
    <row r="290" ht="16.5" spans="2:2">
      <c r="B290" s="4" t="s">
        <v>2642</v>
      </c>
    </row>
    <row r="291" ht="16.5" spans="2:2">
      <c r="B291" s="4" t="s">
        <v>2643</v>
      </c>
    </row>
    <row r="292" ht="16.5" spans="2:2">
      <c r="B292" s="4" t="s">
        <v>2644</v>
      </c>
    </row>
    <row r="293" ht="16.5" spans="2:2">
      <c r="B293" s="4" t="s">
        <v>2645</v>
      </c>
    </row>
    <row r="294" ht="16.5" spans="2:2">
      <c r="B294" s="4" t="s">
        <v>2646</v>
      </c>
    </row>
    <row r="295" ht="16.5" spans="2:2">
      <c r="B295" s="4" t="s">
        <v>2647</v>
      </c>
    </row>
    <row r="296" ht="16.5" spans="2:2">
      <c r="B296" s="4" t="s">
        <v>2648</v>
      </c>
    </row>
    <row r="297" ht="16.5" spans="2:2">
      <c r="B297" s="4" t="s">
        <v>2649</v>
      </c>
    </row>
    <row r="298" ht="16.5" spans="2:2">
      <c r="B298" s="4" t="s">
        <v>2650</v>
      </c>
    </row>
    <row r="299" ht="16.5" spans="2:2">
      <c r="B299" s="4" t="s">
        <v>2651</v>
      </c>
    </row>
    <row r="300" ht="14.25" spans="2:2">
      <c r="B300" s="4" t="s">
        <v>2652</v>
      </c>
    </row>
    <row r="301" ht="14.25" spans="2:2">
      <c r="B301" s="4" t="s">
        <v>2653</v>
      </c>
    </row>
    <row r="302" ht="14.25" spans="2:2">
      <c r="B302" s="4" t="s">
        <v>2654</v>
      </c>
    </row>
    <row r="303" ht="14.25" spans="2:2">
      <c r="B303" s="4" t="s">
        <v>2655</v>
      </c>
    </row>
    <row r="304" ht="14.25" spans="2:2">
      <c r="B304" s="4" t="s">
        <v>2656</v>
      </c>
    </row>
    <row r="305" ht="14.25" spans="2:2">
      <c r="B305" s="4" t="s">
        <v>2657</v>
      </c>
    </row>
    <row r="306" ht="16.5" spans="2:2">
      <c r="B306" s="4" t="s">
        <v>2658</v>
      </c>
    </row>
    <row r="307" ht="16.5" spans="2:2">
      <c r="B307" s="4" t="s">
        <v>2659</v>
      </c>
    </row>
    <row r="308" ht="16.5" spans="2:2">
      <c r="B308" s="4" t="s">
        <v>2660</v>
      </c>
    </row>
    <row r="309" ht="16.5" spans="2:2">
      <c r="B309" s="4" t="s">
        <v>2661</v>
      </c>
    </row>
    <row r="310" ht="16.5" spans="2:2">
      <c r="B310" s="4" t="s">
        <v>2662</v>
      </c>
    </row>
    <row r="311" ht="16.5" spans="2:2">
      <c r="B311" s="4" t="s">
        <v>2663</v>
      </c>
    </row>
    <row r="312" ht="16.5" spans="2:2">
      <c r="B312" s="4" t="s">
        <v>2664</v>
      </c>
    </row>
    <row r="313" ht="14.25" spans="2:2">
      <c r="B313" s="4" t="s">
        <v>2665</v>
      </c>
    </row>
    <row r="314" ht="14.25" spans="2:2">
      <c r="B314" s="4" t="s">
        <v>2666</v>
      </c>
    </row>
    <row r="315" ht="14.25" spans="2:2">
      <c r="B315" s="4" t="s">
        <v>2667</v>
      </c>
    </row>
    <row r="316" ht="14.25" spans="2:2">
      <c r="B316" s="4" t="s">
        <v>2668</v>
      </c>
    </row>
    <row r="317" ht="14.25" spans="2:2">
      <c r="B317" s="4" t="s">
        <v>2669</v>
      </c>
    </row>
    <row r="318" ht="14.25" spans="2:2">
      <c r="B318" s="4" t="s">
        <v>2670</v>
      </c>
    </row>
    <row r="319" ht="16.5" spans="2:2">
      <c r="B319" s="4" t="s">
        <v>2671</v>
      </c>
    </row>
    <row r="320" ht="16.5" spans="2:2">
      <c r="B320" s="4" t="s">
        <v>2672</v>
      </c>
    </row>
    <row r="321" ht="16.5" spans="2:2">
      <c r="B321" s="4" t="s">
        <v>2673</v>
      </c>
    </row>
    <row r="322" ht="14.25" spans="2:2">
      <c r="B322" s="4" t="s">
        <v>2674</v>
      </c>
    </row>
    <row r="323" ht="14.25" spans="2:2">
      <c r="B323" s="4" t="s">
        <v>2675</v>
      </c>
    </row>
    <row r="324" ht="14.25" spans="2:2">
      <c r="B324" s="4" t="s">
        <v>2676</v>
      </c>
    </row>
    <row r="325" ht="14.25" spans="2:2">
      <c r="B325" s="4" t="s">
        <v>2677</v>
      </c>
    </row>
    <row r="326" ht="14.25" spans="2:2">
      <c r="B326" s="4" t="s">
        <v>2678</v>
      </c>
    </row>
    <row r="327" ht="14.25" spans="2:2">
      <c r="B327" s="4" t="s">
        <v>2679</v>
      </c>
    </row>
    <row r="328" ht="16.5" spans="2:2">
      <c r="B328" s="4" t="s">
        <v>2680</v>
      </c>
    </row>
    <row r="329" ht="16.5" spans="2:2">
      <c r="B329" s="4" t="s">
        <v>2681</v>
      </c>
    </row>
    <row r="330" ht="16.5" spans="2:2">
      <c r="B330" s="4" t="s">
        <v>2682</v>
      </c>
    </row>
    <row r="331" ht="16.5" spans="2:2">
      <c r="B331" s="4" t="s">
        <v>2683</v>
      </c>
    </row>
    <row r="332" ht="16.5" spans="2:2">
      <c r="B332" s="4" t="s">
        <v>2684</v>
      </c>
    </row>
    <row r="333" ht="16.5" spans="2:2">
      <c r="B333" s="4" t="s">
        <v>2685</v>
      </c>
    </row>
    <row r="334" ht="16.5" spans="2:2">
      <c r="B334" s="4" t="s">
        <v>2686</v>
      </c>
    </row>
    <row r="335" ht="16.5" spans="2:2">
      <c r="B335" s="4" t="s">
        <v>2687</v>
      </c>
    </row>
    <row r="336" ht="16.5" spans="2:2">
      <c r="B336" s="4" t="s">
        <v>2688</v>
      </c>
    </row>
    <row r="337" ht="16.5" spans="2:2">
      <c r="B337" s="4" t="s">
        <v>2689</v>
      </c>
    </row>
    <row r="338" ht="16.5" spans="2:2">
      <c r="B338" s="4" t="s">
        <v>2690</v>
      </c>
    </row>
    <row r="339" ht="16.5" spans="2:2">
      <c r="B339" s="4" t="s">
        <v>2691</v>
      </c>
    </row>
    <row r="340" ht="16.5" spans="2:2">
      <c r="B340" s="4" t="s">
        <v>2692</v>
      </c>
    </row>
    <row r="341" ht="16.5" spans="2:2">
      <c r="B341" s="4" t="s">
        <v>2693</v>
      </c>
    </row>
    <row r="342" s="1" customFormat="1" ht="16.5" spans="2:2">
      <c r="B342" s="4" t="s">
        <v>2694</v>
      </c>
    </row>
    <row r="343" s="1" customFormat="1" ht="16.5" spans="2:2">
      <c r="B343" s="4" t="s">
        <v>2695</v>
      </c>
    </row>
    <row r="344" s="1" customFormat="1" ht="16.5" spans="2:2">
      <c r="B344" s="4" t="s">
        <v>2696</v>
      </c>
    </row>
    <row r="345" s="1" customFormat="1" ht="16.5" spans="2:2">
      <c r="B345" s="4" t="s">
        <v>2697</v>
      </c>
    </row>
    <row r="346" s="1" customFormat="1" ht="16.5" spans="2:2">
      <c r="B346" s="4" t="s">
        <v>2698</v>
      </c>
    </row>
    <row r="347" s="1" customFormat="1" ht="16.5" spans="2:2">
      <c r="B347" s="4" t="s">
        <v>2699</v>
      </c>
    </row>
    <row r="348" s="1" customFormat="1" ht="16.5" spans="2:2">
      <c r="B348" s="4" t="s">
        <v>2700</v>
      </c>
    </row>
    <row r="349" s="1" customFormat="1" ht="16.5" spans="2:2">
      <c r="B349" s="4" t="s">
        <v>2701</v>
      </c>
    </row>
    <row r="350" s="1" customFormat="1" ht="16.5" spans="2:2">
      <c r="B350" s="4" t="s">
        <v>2702</v>
      </c>
    </row>
    <row r="351" s="1" customFormat="1" ht="16.5" spans="2:2">
      <c r="B351" s="4" t="s">
        <v>2703</v>
      </c>
    </row>
    <row r="352" s="1" customFormat="1" ht="16.5" spans="2:2">
      <c r="B352" s="4" t="s">
        <v>2704</v>
      </c>
    </row>
    <row r="353" s="1" customFormat="1" ht="16.5" spans="2:2">
      <c r="B353" s="4" t="s">
        <v>2705</v>
      </c>
    </row>
    <row r="354" s="1" customFormat="1" ht="16.5" spans="2:2">
      <c r="B354" s="4" t="s">
        <v>2706</v>
      </c>
    </row>
    <row r="355" s="1" customFormat="1" ht="16.5" spans="2:2">
      <c r="B355" s="4" t="s">
        <v>2707</v>
      </c>
    </row>
    <row r="356" s="1" customFormat="1" ht="16.5" spans="2:2">
      <c r="B356" s="4" t="s">
        <v>2708</v>
      </c>
    </row>
    <row r="357" s="1" customFormat="1" ht="16.5" spans="2:2">
      <c r="B357" s="4" t="s">
        <v>2709</v>
      </c>
    </row>
    <row r="358" s="1" customFormat="1" ht="16.5" spans="2:2">
      <c r="B358" s="4" t="s">
        <v>2710</v>
      </c>
    </row>
    <row r="359" s="1" customFormat="1" ht="16.5" spans="2:2">
      <c r="B359" s="4" t="s">
        <v>2711</v>
      </c>
    </row>
    <row r="360" s="1" customFormat="1" ht="16.5" spans="2:2">
      <c r="B360" s="4" t="s">
        <v>2712</v>
      </c>
    </row>
    <row r="361" s="1" customFormat="1" ht="16.5" spans="2:2">
      <c r="B361" s="4" t="s">
        <v>2713</v>
      </c>
    </row>
    <row r="362" s="1" customFormat="1" ht="16.5" spans="2:2">
      <c r="B362" s="4" t="s">
        <v>2714</v>
      </c>
    </row>
    <row r="363" s="1" customFormat="1" ht="16.5" spans="2:2">
      <c r="B363" s="4" t="s">
        <v>2715</v>
      </c>
    </row>
    <row r="364" s="1" customFormat="1" ht="16.5" spans="2:2">
      <c r="B364" s="4" t="s">
        <v>2716</v>
      </c>
    </row>
    <row r="365" s="1" customFormat="1" ht="16.5" spans="2:2">
      <c r="B365" s="4" t="s">
        <v>2717</v>
      </c>
    </row>
    <row r="366" s="1" customFormat="1" ht="16.5" spans="2:2">
      <c r="B366" s="4" t="s">
        <v>2718</v>
      </c>
    </row>
    <row r="367" s="1" customFormat="1" ht="16.5" spans="2:2">
      <c r="B367" s="4" t="s">
        <v>2719</v>
      </c>
    </row>
    <row r="368" s="1" customFormat="1" ht="16.5" spans="2:2">
      <c r="B368" s="4" t="s">
        <v>2720</v>
      </c>
    </row>
    <row r="369" s="1" customFormat="1" ht="16.5" spans="2:2">
      <c r="B369" s="4" t="s">
        <v>2721</v>
      </c>
    </row>
    <row r="370" s="1" customFormat="1" ht="16.5" spans="2:2">
      <c r="B370" s="4" t="s">
        <v>2722</v>
      </c>
    </row>
    <row r="371" s="1" customFormat="1" ht="16.5" spans="2:2">
      <c r="B371" s="4" t="s">
        <v>2723</v>
      </c>
    </row>
    <row r="372" s="1" customFormat="1" ht="16.5" spans="2:2">
      <c r="B372" s="4" t="s">
        <v>2724</v>
      </c>
    </row>
    <row r="373" s="1" customFormat="1" ht="16.5" spans="2:2">
      <c r="B373" s="4" t="s">
        <v>2725</v>
      </c>
    </row>
    <row r="374" s="1" customFormat="1" ht="16.5" spans="2:2">
      <c r="B374" s="4" t="s">
        <v>2726</v>
      </c>
    </row>
    <row r="375" s="1" customFormat="1" ht="16.5" spans="2:2">
      <c r="B375" s="4" t="s">
        <v>2727</v>
      </c>
    </row>
    <row r="376" s="1" customFormat="1" ht="16.5" spans="2:2">
      <c r="B376" s="4" t="s">
        <v>2728</v>
      </c>
    </row>
    <row r="377" s="1" customFormat="1" ht="16.5" spans="2:2">
      <c r="B377" s="4" t="s">
        <v>2729</v>
      </c>
    </row>
    <row r="378" s="1" customFormat="1" ht="16.5" spans="2:2">
      <c r="B378" s="4" t="s">
        <v>2730</v>
      </c>
    </row>
    <row r="379" s="1" customFormat="1" ht="16.5" spans="2:2">
      <c r="B379" s="4" t="s">
        <v>2731</v>
      </c>
    </row>
    <row r="380" s="1" customFormat="1" ht="16.5" spans="2:2">
      <c r="B380" s="4" t="s">
        <v>2732</v>
      </c>
    </row>
    <row r="381" s="1" customFormat="1" ht="16.5" spans="2:2">
      <c r="B381" s="4" t="s">
        <v>2733</v>
      </c>
    </row>
    <row r="382" s="1" customFormat="1" ht="16.5" spans="2:2">
      <c r="B382" s="4" t="s">
        <v>2734</v>
      </c>
    </row>
    <row r="383" s="1" customFormat="1" ht="16.5" spans="2:2">
      <c r="B383" s="4" t="s">
        <v>2735</v>
      </c>
    </row>
    <row r="384" s="1" customFormat="1" ht="16.5" spans="2:2">
      <c r="B384" s="4" t="s">
        <v>2736</v>
      </c>
    </row>
    <row r="385" s="1" customFormat="1" ht="16.5" spans="2:2">
      <c r="B385" s="4" t="s">
        <v>2737</v>
      </c>
    </row>
    <row r="386" s="1" customFormat="1" ht="16.5" spans="2:2">
      <c r="B386" s="4" t="s">
        <v>2738</v>
      </c>
    </row>
    <row r="387" s="1" customFormat="1" ht="16.5" spans="2:2">
      <c r="B387" s="4" t="s">
        <v>2739</v>
      </c>
    </row>
    <row r="388" s="1" customFormat="1" ht="16.5" spans="2:2">
      <c r="B388" s="4" t="s">
        <v>2740</v>
      </c>
    </row>
    <row r="389" s="1" customFormat="1" ht="16.5" spans="2:2">
      <c r="B389" s="4" t="s">
        <v>2741</v>
      </c>
    </row>
    <row r="390" s="1" customFormat="1" ht="16.5" spans="2:2">
      <c r="B390" s="4" t="s">
        <v>2742</v>
      </c>
    </row>
    <row r="391" s="1" customFormat="1" ht="16.5" spans="2:2">
      <c r="B391" s="4" t="s">
        <v>2743</v>
      </c>
    </row>
    <row r="392" s="1" customFormat="1" ht="16.5" spans="2:2">
      <c r="B392" s="4" t="s">
        <v>2744</v>
      </c>
    </row>
    <row r="393" s="1" customFormat="1" ht="16.5" spans="2:2">
      <c r="B393" s="4" t="s">
        <v>2745</v>
      </c>
    </row>
    <row r="394" s="1" customFormat="1" ht="16.5" spans="2:2">
      <c r="B394" s="4" t="s">
        <v>2746</v>
      </c>
    </row>
    <row r="395" s="1" customFormat="1" ht="16.5" spans="2:2">
      <c r="B395" s="4" t="s">
        <v>2747</v>
      </c>
    </row>
    <row r="396" s="1" customFormat="1" ht="16.5" spans="2:2">
      <c r="B396" s="4" t="s">
        <v>2748</v>
      </c>
    </row>
    <row r="397" s="1" customFormat="1" ht="16.5" spans="2:2">
      <c r="B397" s="4" t="s">
        <v>2749</v>
      </c>
    </row>
    <row r="398" s="1" customFormat="1" ht="16.5" spans="2:2">
      <c r="B398" s="4" t="s">
        <v>2750</v>
      </c>
    </row>
    <row r="399" s="1" customFormat="1" ht="16.5" spans="2:2">
      <c r="B399" s="4" t="s">
        <v>2751</v>
      </c>
    </row>
    <row r="400" s="1" customFormat="1" ht="16.5" spans="2:2">
      <c r="B400" s="4" t="s">
        <v>2752</v>
      </c>
    </row>
    <row r="401" s="1" customFormat="1" ht="16.5" spans="2:2">
      <c r="B401" s="4" t="s">
        <v>2753</v>
      </c>
    </row>
    <row r="402" s="1" customFormat="1" ht="16.5" spans="2:2">
      <c r="B402" s="4" t="s">
        <v>2754</v>
      </c>
    </row>
    <row r="403" s="1" customFormat="1" ht="16.5" spans="2:2">
      <c r="B403" s="4" t="s">
        <v>2755</v>
      </c>
    </row>
    <row r="404" s="1" customFormat="1" ht="16.5" spans="2:2">
      <c r="B404" s="4" t="s">
        <v>2756</v>
      </c>
    </row>
    <row r="405" s="1" customFormat="1" ht="16.5" spans="2:2">
      <c r="B405" s="4" t="s">
        <v>2757</v>
      </c>
    </row>
    <row r="406" s="1" customFormat="1" ht="16.5" spans="2:2">
      <c r="B406" s="4" t="s">
        <v>2758</v>
      </c>
    </row>
    <row r="407" s="1" customFormat="1" ht="16.5" spans="2:2">
      <c r="B407" s="4" t="s">
        <v>2759</v>
      </c>
    </row>
    <row r="408" s="1" customFormat="1" ht="16.5" spans="2:2">
      <c r="B408" s="4" t="s">
        <v>2760</v>
      </c>
    </row>
    <row r="409" s="1" customFormat="1" ht="16.5" spans="2:2">
      <c r="B409" s="4" t="s">
        <v>2761</v>
      </c>
    </row>
    <row r="410" s="1" customFormat="1" ht="16.5" spans="2:2">
      <c r="B410" s="4" t="s">
        <v>2762</v>
      </c>
    </row>
    <row r="411" s="1" customFormat="1" ht="16.5" spans="2:2">
      <c r="B411" s="4" t="s">
        <v>2763</v>
      </c>
    </row>
    <row r="412" s="1" customFormat="1" ht="16.5" spans="2:2">
      <c r="B412" s="4" t="s">
        <v>2764</v>
      </c>
    </row>
    <row r="413" s="1" customFormat="1" ht="16.5" spans="2:2">
      <c r="B413" s="4" t="s">
        <v>2765</v>
      </c>
    </row>
    <row r="414" s="1" customFormat="1" ht="16.5" spans="2:2">
      <c r="B414" s="4" t="s">
        <v>2766</v>
      </c>
    </row>
    <row r="415" s="1" customFormat="1" ht="16.5" spans="2:2">
      <c r="B415" s="4" t="s">
        <v>2767</v>
      </c>
    </row>
    <row r="416" s="1" customFormat="1" ht="16.5" spans="2:2">
      <c r="B416" s="4" t="s">
        <v>2768</v>
      </c>
    </row>
    <row r="417" s="1" customFormat="1" ht="16.5" spans="2:2">
      <c r="B417" s="4" t="s">
        <v>2769</v>
      </c>
    </row>
    <row r="418" s="1" customFormat="1" ht="16.5" spans="2:2">
      <c r="B418" s="4" t="s">
        <v>2770</v>
      </c>
    </row>
    <row r="419" s="1" customFormat="1" ht="16.5" spans="2:2">
      <c r="B419" s="4" t="s">
        <v>2771</v>
      </c>
    </row>
    <row r="420" s="1" customFormat="1" ht="16.5" spans="2:2">
      <c r="B420" s="4" t="s">
        <v>2772</v>
      </c>
    </row>
    <row r="421" s="1" customFormat="1" ht="16.5" spans="2:2">
      <c r="B421" s="4" t="s">
        <v>2773</v>
      </c>
    </row>
    <row r="422" s="1" customFormat="1" ht="16.5" spans="2:2">
      <c r="B422" s="4" t="s">
        <v>2774</v>
      </c>
    </row>
    <row r="423" s="1" customFormat="1" ht="16.5" spans="2:2">
      <c r="B423" s="4" t="s">
        <v>2775</v>
      </c>
    </row>
    <row r="424" s="1" customFormat="1" ht="16.5" spans="2:2">
      <c r="B424" s="4" t="s">
        <v>2776</v>
      </c>
    </row>
    <row r="425" s="1" customFormat="1" ht="16.5" spans="2:2">
      <c r="B425" s="4" t="s">
        <v>2777</v>
      </c>
    </row>
    <row r="426" s="1" customFormat="1" ht="16.5" spans="2:2">
      <c r="B426" s="4" t="s">
        <v>2778</v>
      </c>
    </row>
    <row r="427" s="1" customFormat="1" ht="16.5" spans="2:2">
      <c r="B427" s="4" t="s">
        <v>2779</v>
      </c>
    </row>
    <row r="428" s="1" customFormat="1" ht="16.5" spans="2:2">
      <c r="B428" s="4" t="s">
        <v>2780</v>
      </c>
    </row>
    <row r="429" s="1" customFormat="1" ht="16.5" spans="2:2">
      <c r="B429" s="4" t="s">
        <v>2781</v>
      </c>
    </row>
    <row r="430" s="1" customFormat="1" ht="16.5" spans="2:2">
      <c r="B430" s="4" t="s">
        <v>2782</v>
      </c>
    </row>
    <row r="431" s="1" customFormat="1" ht="16.5" spans="2:2">
      <c r="B431" s="4" t="s">
        <v>2783</v>
      </c>
    </row>
    <row r="432" s="1" customFormat="1" ht="16.5" spans="2:2">
      <c r="B432" s="4" t="s">
        <v>2784</v>
      </c>
    </row>
    <row r="433" s="1" customFormat="1" ht="16.5" spans="2:2">
      <c r="B433" s="4" t="s">
        <v>2785</v>
      </c>
    </row>
    <row r="434" s="1" customFormat="1" ht="16.5" spans="2:2">
      <c r="B434" s="4" t="s">
        <v>2786</v>
      </c>
    </row>
    <row r="435" s="1" customFormat="1" ht="16.5" spans="2:2">
      <c r="B435" s="4" t="s">
        <v>2787</v>
      </c>
    </row>
    <row r="436" s="1" customFormat="1" ht="16.5" spans="2:2">
      <c r="B436" s="4" t="s">
        <v>2788</v>
      </c>
    </row>
    <row r="437" s="1" customFormat="1" ht="16.5" spans="2:2">
      <c r="B437" s="4" t="s">
        <v>2789</v>
      </c>
    </row>
    <row r="438" s="1" customFormat="1" ht="16.5" spans="2:2">
      <c r="B438" s="4" t="s">
        <v>2790</v>
      </c>
    </row>
    <row r="439" s="1" customFormat="1" ht="16.5" spans="2:2">
      <c r="B439" s="4" t="s">
        <v>2791</v>
      </c>
    </row>
    <row r="440" s="1" customFormat="1" ht="16.5" spans="2:2">
      <c r="B440" s="4" t="s">
        <v>2792</v>
      </c>
    </row>
    <row r="441" s="1" customFormat="1" ht="16.5" spans="2:2">
      <c r="B441" s="4" t="s">
        <v>2793</v>
      </c>
    </row>
    <row r="442" s="1" customFormat="1" ht="16.5" spans="2:2">
      <c r="B442" s="4" t="s">
        <v>2794</v>
      </c>
    </row>
    <row r="443" s="1" customFormat="1" ht="16.5" spans="2:2">
      <c r="B443" s="4" t="s">
        <v>2795</v>
      </c>
    </row>
    <row r="444" s="1" customFormat="1" ht="16.5" spans="2:2">
      <c r="B444" s="4" t="s">
        <v>2796</v>
      </c>
    </row>
    <row r="445" s="1" customFormat="1" ht="16.5" spans="2:2">
      <c r="B445" s="4" t="s">
        <v>2797</v>
      </c>
    </row>
    <row r="446" s="1" customFormat="1" ht="16.5" spans="2:2">
      <c r="B446" s="4" t="s">
        <v>2798</v>
      </c>
    </row>
    <row r="447" s="1" customFormat="1" ht="16.5" spans="2:2">
      <c r="B447" s="4" t="s">
        <v>2799</v>
      </c>
    </row>
    <row r="448" s="1" customFormat="1" ht="16.5" spans="2:2">
      <c r="B448" s="4" t="s">
        <v>2800</v>
      </c>
    </row>
    <row r="449" s="1" customFormat="1" ht="16.5" spans="2:2">
      <c r="B449" s="4" t="s">
        <v>2801</v>
      </c>
    </row>
    <row r="450" s="1" customFormat="1" ht="16.5" spans="2:2">
      <c r="B450" s="4" t="s">
        <v>2802</v>
      </c>
    </row>
    <row r="451" s="1" customFormat="1" ht="16.5" spans="2:2">
      <c r="B451" s="4" t="s">
        <v>2803</v>
      </c>
    </row>
    <row r="452" s="1" customFormat="1" ht="16.5" spans="2:2">
      <c r="B452" s="4" t="s">
        <v>2804</v>
      </c>
    </row>
    <row r="453" s="1" customFormat="1" ht="16.5" spans="2:2">
      <c r="B453" s="4" t="s">
        <v>2805</v>
      </c>
    </row>
    <row r="454" s="1" customFormat="1" ht="16.5" spans="2:2">
      <c r="B454" s="4" t="s">
        <v>2806</v>
      </c>
    </row>
    <row r="455" s="1" customFormat="1" ht="16.5" spans="2:2">
      <c r="B455" s="4" t="s">
        <v>2807</v>
      </c>
    </row>
    <row r="456" s="1" customFormat="1" ht="16.5" spans="2:2">
      <c r="B456" s="4" t="s">
        <v>2808</v>
      </c>
    </row>
    <row r="457" s="1" customFormat="1" ht="16.5" spans="2:2">
      <c r="B457" s="4" t="s">
        <v>2809</v>
      </c>
    </row>
    <row r="458" s="1" customFormat="1" ht="16.5" spans="2:2">
      <c r="B458" s="4" t="s">
        <v>2810</v>
      </c>
    </row>
    <row r="459" s="1" customFormat="1" ht="16.5" spans="2:2">
      <c r="B459" s="4" t="s">
        <v>2811</v>
      </c>
    </row>
    <row r="460" s="1" customFormat="1" ht="16.5" spans="2:2">
      <c r="B460" s="4" t="s">
        <v>2812</v>
      </c>
    </row>
    <row r="461" s="1" customFormat="1" ht="17.25" spans="2:2">
      <c r="B461" s="4" t="s">
        <v>2813</v>
      </c>
    </row>
    <row r="462" ht="15.75" spans="2:2">
      <c r="B462" s="3" t="s">
        <v>2814</v>
      </c>
    </row>
  </sheetData>
  <conditionalFormatting sqref="B386">
    <cfRule type="duplicateValues" dxfId="0" priority="85"/>
  </conditionalFormatting>
  <conditionalFormatting sqref="B440">
    <cfRule type="duplicateValues" dxfId="0" priority="50"/>
  </conditionalFormatting>
  <conditionalFormatting sqref="B441">
    <cfRule type="duplicateValues" dxfId="0" priority="49"/>
  </conditionalFormatting>
  <conditionalFormatting sqref="B442">
    <cfRule type="duplicateValues" dxfId="0" priority="48"/>
  </conditionalFormatting>
  <conditionalFormatting sqref="B443">
    <cfRule type="duplicateValues" dxfId="0" priority="47"/>
  </conditionalFormatting>
  <conditionalFormatting sqref="B444">
    <cfRule type="duplicateValues" dxfId="0" priority="46"/>
  </conditionalFormatting>
  <conditionalFormatting sqref="B445">
    <cfRule type="duplicateValues" dxfId="0" priority="45"/>
  </conditionalFormatting>
  <conditionalFormatting sqref="B446">
    <cfRule type="duplicateValues" dxfId="0" priority="44"/>
  </conditionalFormatting>
  <conditionalFormatting sqref="B447">
    <cfRule type="duplicateValues" dxfId="0" priority="43"/>
  </conditionalFormatting>
  <conditionalFormatting sqref="B448">
    <cfRule type="duplicateValues" dxfId="0" priority="42"/>
  </conditionalFormatting>
  <conditionalFormatting sqref="B449">
    <cfRule type="duplicateValues" dxfId="0" priority="41"/>
  </conditionalFormatting>
  <conditionalFormatting sqref="B450">
    <cfRule type="duplicateValues" dxfId="0" priority="40"/>
  </conditionalFormatting>
  <conditionalFormatting sqref="B451">
    <cfRule type="duplicateValues" dxfId="0" priority="39"/>
  </conditionalFormatting>
  <conditionalFormatting sqref="B452">
    <cfRule type="duplicateValues" dxfId="0" priority="38"/>
  </conditionalFormatting>
  <conditionalFormatting sqref="B453">
    <cfRule type="duplicateValues" dxfId="0" priority="37"/>
  </conditionalFormatting>
  <conditionalFormatting sqref="B454">
    <cfRule type="duplicateValues" dxfId="0" priority="36"/>
  </conditionalFormatting>
  <conditionalFormatting sqref="B455">
    <cfRule type="duplicateValues" dxfId="0" priority="35"/>
  </conditionalFormatting>
  <conditionalFormatting sqref="B456">
    <cfRule type="duplicateValues" dxfId="0" priority="34"/>
  </conditionalFormatting>
  <conditionalFormatting sqref="B457">
    <cfRule type="duplicateValues" dxfId="0" priority="33"/>
  </conditionalFormatting>
  <conditionalFormatting sqref="B458">
    <cfRule type="duplicateValues" dxfId="0" priority="32"/>
  </conditionalFormatting>
  <conditionalFormatting sqref="B459">
    <cfRule type="duplicateValues" dxfId="0" priority="31"/>
  </conditionalFormatting>
  <conditionalFormatting sqref="B463">
    <cfRule type="duplicateValues" dxfId="0" priority="590"/>
  </conditionalFormatting>
  <conditionalFormatting sqref="B58:B75">
    <cfRule type="duplicateValues" dxfId="0" priority="1"/>
    <cfRule type="duplicateValues" dxfId="0" priority="2"/>
  </conditionalFormatting>
  <conditionalFormatting sqref="B76:B292">
    <cfRule type="duplicateValues" dxfId="0" priority="156"/>
  </conditionalFormatting>
  <conditionalFormatting sqref="B366:B367">
    <cfRule type="duplicateValues" dxfId="0" priority="95"/>
  </conditionalFormatting>
  <conditionalFormatting sqref="B368:B369">
    <cfRule type="duplicateValues" dxfId="0" priority="94"/>
  </conditionalFormatting>
  <conditionalFormatting sqref="B370:B371">
    <cfRule type="duplicateValues" dxfId="0" priority="93"/>
  </conditionalFormatting>
  <conditionalFormatting sqref="B372:B373">
    <cfRule type="duplicateValues" dxfId="0" priority="92"/>
  </conditionalFormatting>
  <conditionalFormatting sqref="B374:B375">
    <cfRule type="duplicateValues" dxfId="0" priority="91"/>
  </conditionalFormatting>
  <conditionalFormatting sqref="B376:B377">
    <cfRule type="duplicateValues" dxfId="0" priority="90"/>
  </conditionalFormatting>
  <conditionalFormatting sqref="B378:B379">
    <cfRule type="duplicateValues" dxfId="0" priority="89"/>
  </conditionalFormatting>
  <conditionalFormatting sqref="B380:B381">
    <cfRule type="duplicateValues" dxfId="0" priority="88"/>
  </conditionalFormatting>
  <conditionalFormatting sqref="B382:B383">
    <cfRule type="duplicateValues" dxfId="0" priority="87"/>
  </conditionalFormatting>
  <conditionalFormatting sqref="B384:B385">
    <cfRule type="duplicateValues" dxfId="0" priority="86"/>
  </conditionalFormatting>
  <conditionalFormatting sqref="B1:B57 B462:B463">
    <cfRule type="duplicateValues" dxfId="0" priority="237"/>
  </conditionalFormatting>
  <conditionalFormatting sqref="B1:B365 B387:B439 B460:B1048576">
    <cfRule type="duplicateValues" dxfId="0" priority="107"/>
  </conditionalFormatting>
  <conditionalFormatting sqref="B1:B292 B462:B1048576">
    <cfRule type="duplicateValues" dxfId="0" priority="142"/>
  </conditionalFormatting>
  <conditionalFormatting sqref="B1:B57 B462:B1048576">
    <cfRule type="duplicateValues" dxfId="0" priority="193"/>
  </conditionalFormatting>
  <conditionalFormatting sqref="B293:B365 B387:B439 B460:B461">
    <cfRule type="duplicateValues" dxfId="0" priority="11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</vt:lpstr>
      <vt:lpstr>FBA地址库编码表</vt:lpstr>
      <vt:lpstr>服务名称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Etton-Kate</cp:lastModifiedBy>
  <dcterms:created xsi:type="dcterms:W3CDTF">2021-07-02T07:17:00Z</dcterms:created>
  <dcterms:modified xsi:type="dcterms:W3CDTF">2026-10-09T08:30:08Z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4DC821B017F64F36BE550F767D4EF0C8_13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